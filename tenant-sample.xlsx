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ttlimitedau-my.sharepoint.com/personal/allen_reyn_global_ntt/Documents/Desktop/"/>
    </mc:Choice>
  </mc:AlternateContent>
  <xr:revisionPtr revIDLastSave="1781" documentId="13_ncr:1_{859CCEB5-2093-47F7-AD1A-31853D07F9EF}" xr6:coauthVersionLast="47" xr6:coauthVersionMax="47" xr10:uidLastSave="{06083BE4-0717-48B1-ADFE-8E80B11AECC2}"/>
  <bookViews>
    <workbookView xWindow="28680" yWindow="-4560" windowWidth="29040" windowHeight="15840" activeTab="1" xr2:uid="{979BD951-2965-49C4-8E65-7803D7611EB9}"/>
  </bookViews>
  <sheets>
    <sheet name="tenant" sheetId="1" r:id="rId1"/>
    <sheet name="app_profile" sheetId="3" r:id="rId2"/>
    <sheet name="domains" sheetId="17" r:id="rId3"/>
    <sheet name="epg" sheetId="2" r:id="rId4"/>
    <sheet name="bridge_domain" sheetId="4" r:id="rId5"/>
    <sheet name="l3out" sheetId="26" r:id="rId6"/>
    <sheet name="bd_to_l3out_link" sheetId="24" r:id="rId7"/>
    <sheet name="subnet" sheetId="8" r:id="rId8"/>
    <sheet name="vrf" sheetId="5" r:id="rId9"/>
    <sheet name="contract" sheetId="9" r:id="rId10"/>
    <sheet name="subject" sheetId="15" r:id="rId11"/>
    <sheet name="filter" sheetId="10" r:id="rId12"/>
    <sheet name="filterEntry" sheetId="16" r:id="rId13"/>
    <sheet name="leaf-switchPol" sheetId="18" r:id="rId14"/>
    <sheet name="spine-switchPol" sheetId="19" r:id="rId15"/>
    <sheet name="interface-nodeProf" sheetId="22" r:id="rId16"/>
    <sheet name="vpc" sheetId="20" r:id="rId17"/>
    <sheet name="options" sheetId="23" r:id="rId18"/>
    <sheet name="epg_stretch" sheetId="28" r:id="rId19"/>
  </sheets>
  <definedNames>
    <definedName name="_xlnm._FilterDatabase" localSheetId="1" hidden="1">app_profile!$A$1:$G$40</definedName>
    <definedName name="_xlnm._FilterDatabase" localSheetId="6" hidden="1">bd_to_l3out_link!$A$1:$E$2</definedName>
    <definedName name="_xlnm._FilterDatabase" localSheetId="4" hidden="1">bridge_domain!$A$1:$AB$40</definedName>
    <definedName name="_xlnm._FilterDatabase" localSheetId="9" hidden="1">contract!$A$1:$K$5</definedName>
    <definedName name="_xlnm._FilterDatabase" localSheetId="2" hidden="1">domains!$A$1:$I$36</definedName>
    <definedName name="_xlnm._FilterDatabase" localSheetId="3" hidden="1">epg!$A$1:$S$5</definedName>
    <definedName name="_xlnm._FilterDatabase" localSheetId="18" hidden="1">epg_stretch!$A$1:$E$40</definedName>
    <definedName name="_xlnm._FilterDatabase" localSheetId="11" hidden="1">filter!$A$1:$G$40</definedName>
    <definedName name="_xlnm._FilterDatabase" localSheetId="12" hidden="1">filterEntry!$A$1:$T$40</definedName>
    <definedName name="_xlnm._FilterDatabase" localSheetId="15" hidden="1">'interface-nodeProf'!$A$1:$G$40</definedName>
    <definedName name="_xlnm._FilterDatabase" localSheetId="5" hidden="1">l3out!$A$1:$L$36</definedName>
    <definedName name="_xlnm._FilterDatabase" localSheetId="13" hidden="1">'leaf-switchPol'!$A$1:$J$43</definedName>
    <definedName name="_xlnm._FilterDatabase" localSheetId="14" hidden="1">'spine-switchPol'!$A$1:$J$3</definedName>
    <definedName name="_xlnm._FilterDatabase" localSheetId="10" hidden="1">subject!$A$1:$K$40</definedName>
    <definedName name="_xlnm._FilterDatabase" localSheetId="7" hidden="1">subnet!$A$1:$J$40</definedName>
    <definedName name="_xlnm._FilterDatabase" localSheetId="0" hidden="1">tenant!$A$1:$F$40</definedName>
    <definedName name="_xlnm._FilterDatabase" localSheetId="16" hidden="1">vpc!$A$1:$I$40</definedName>
    <definedName name="_xlnm._FilterDatabase" localSheetId="8" hidden="1">vrf!$A$1:$L$4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28" l="1"/>
  <c r="F4" i="28"/>
  <c r="F5" i="28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29" i="28"/>
  <c r="F30" i="28"/>
  <c r="F31" i="28"/>
  <c r="F32" i="28"/>
  <c r="F33" i="28"/>
  <c r="F34" i="28"/>
  <c r="F35" i="28"/>
  <c r="F36" i="28"/>
  <c r="F37" i="28"/>
  <c r="F38" i="28"/>
  <c r="F39" i="28"/>
  <c r="F40" i="28"/>
  <c r="F41" i="28"/>
  <c r="F42" i="28"/>
  <c r="F43" i="28"/>
  <c r="F44" i="28"/>
  <c r="F45" i="28"/>
  <c r="F46" i="28"/>
  <c r="F47" i="28"/>
  <c r="F48" i="28"/>
  <c r="F49" i="28"/>
  <c r="F50" i="28"/>
  <c r="F51" i="28"/>
  <c r="F52" i="28"/>
  <c r="F53" i="28"/>
  <c r="F54" i="28"/>
  <c r="F55" i="28"/>
  <c r="F56" i="28"/>
  <c r="F57" i="28"/>
  <c r="F58" i="28"/>
  <c r="F59" i="28"/>
  <c r="F60" i="28"/>
  <c r="F61" i="28"/>
  <c r="F62" i="28"/>
  <c r="F63" i="28"/>
  <c r="F64" i="28"/>
  <c r="F65" i="28"/>
  <c r="F66" i="28"/>
  <c r="F2" i="28"/>
  <c r="E30" i="28" l="1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58" i="28"/>
  <c r="E59" i="28"/>
  <c r="E60" i="28"/>
  <c r="E61" i="28"/>
  <c r="E62" i="28"/>
  <c r="E63" i="28"/>
  <c r="E64" i="28"/>
  <c r="E65" i="28"/>
  <c r="E66" i="28"/>
  <c r="E3" i="28"/>
  <c r="E4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2" i="28"/>
  <c r="E3" i="24" l="1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2" i="24"/>
  <c r="L2" i="26"/>
  <c r="I4" i="17"/>
  <c r="I5" i="17"/>
  <c r="I6" i="17"/>
  <c r="I7" i="17"/>
  <c r="I8" i="17"/>
  <c r="I9" i="17"/>
  <c r="I10" i="17"/>
  <c r="I11" i="17"/>
  <c r="L3" i="26"/>
  <c r="L4" i="26"/>
  <c r="L5" i="26"/>
  <c r="L6" i="26"/>
  <c r="L7" i="26"/>
  <c r="L8" i="26"/>
  <c r="L9" i="26"/>
  <c r="L10" i="26"/>
  <c r="L11" i="26"/>
  <c r="L12" i="26"/>
  <c r="L13" i="26"/>
  <c r="L14" i="26"/>
  <c r="L15" i="26"/>
  <c r="L16" i="26"/>
  <c r="T2" i="16"/>
  <c r="AB11" i="4"/>
  <c r="AB3" i="4"/>
  <c r="AB4" i="4"/>
  <c r="AB5" i="4"/>
  <c r="AB6" i="4"/>
  <c r="AB7" i="4"/>
  <c r="AB8" i="4"/>
  <c r="AB9" i="4"/>
  <c r="AB10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2" i="4"/>
  <c r="F18" i="18"/>
  <c r="G44" i="22"/>
  <c r="G45" i="22"/>
  <c r="G46" i="22"/>
  <c r="G47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2" i="22"/>
  <c r="I2" i="17"/>
  <c r="I3" i="20" l="1"/>
  <c r="I4" i="20"/>
  <c r="I5" i="20"/>
  <c r="I6" i="20"/>
  <c r="I7" i="20"/>
  <c r="I8" i="20"/>
  <c r="I9" i="20"/>
  <c r="I10" i="20"/>
  <c r="I11" i="20"/>
  <c r="I12" i="20"/>
  <c r="I13" i="20"/>
  <c r="I14" i="20"/>
  <c r="I15" i="20"/>
  <c r="I2" i="20"/>
  <c r="J2" i="19"/>
  <c r="J4" i="19"/>
  <c r="J5" i="19"/>
  <c r="E4" i="19"/>
  <c r="F4" i="19"/>
  <c r="E5" i="19"/>
  <c r="F5" i="19"/>
  <c r="C4" i="19"/>
  <c r="C5" i="19"/>
  <c r="C2" i="19"/>
  <c r="J3" i="19"/>
  <c r="J2" i="18"/>
  <c r="J3" i="18"/>
  <c r="J4" i="18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J37" i="18"/>
  <c r="J38" i="18"/>
  <c r="J39" i="18"/>
  <c r="J40" i="18"/>
  <c r="J41" i="18"/>
  <c r="J42" i="18"/>
  <c r="J43" i="18"/>
  <c r="I3" i="17"/>
  <c r="C3" i="20"/>
  <c r="C4" i="20"/>
  <c r="C5" i="20"/>
  <c r="C6" i="20"/>
  <c r="C7" i="20"/>
  <c r="C8" i="20"/>
  <c r="C9" i="20"/>
  <c r="C10" i="20"/>
  <c r="C11" i="20"/>
  <c r="C12" i="20"/>
  <c r="C13" i="20"/>
  <c r="C14" i="20"/>
  <c r="C15" i="20"/>
  <c r="C2" i="20"/>
  <c r="C3" i="19"/>
  <c r="F3" i="19"/>
  <c r="E3" i="19"/>
  <c r="F2" i="19"/>
  <c r="E2" i="19"/>
  <c r="C43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24" i="18"/>
  <c r="C25" i="18"/>
  <c r="C26" i="18"/>
  <c r="C27" i="18"/>
  <c r="C28" i="18"/>
  <c r="C29" i="18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9" i="18"/>
  <c r="F20" i="18"/>
  <c r="F21" i="18"/>
  <c r="F22" i="18"/>
  <c r="F23" i="18"/>
  <c r="F2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24" i="18"/>
  <c r="C3" i="18" l="1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" i="18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F2" i="1" l="1"/>
  <c r="G2" i="10" l="1"/>
  <c r="K2" i="15"/>
  <c r="K2" i="9"/>
  <c r="L3" i="5"/>
  <c r="L4" i="5"/>
  <c r="L2" i="5"/>
  <c r="J3" i="8"/>
  <c r="J4" i="8"/>
  <c r="J5" i="8"/>
  <c r="J6" i="8"/>
  <c r="J7" i="8"/>
  <c r="J2" i="8"/>
  <c r="G2" i="3"/>
  <c r="S3" i="2"/>
  <c r="S4" i="2"/>
  <c r="S5" i="2"/>
  <c r="S2" i="2"/>
</calcChain>
</file>

<file path=xl/sharedStrings.xml><?xml version="1.0" encoding="utf-8"?>
<sst xmlns="http://schemas.openxmlformats.org/spreadsheetml/2006/main" count="4032" uniqueCount="519">
  <si>
    <t>name</t>
  </si>
  <si>
    <t>type</t>
  </si>
  <si>
    <t>bridge_domain</t>
  </si>
  <si>
    <t>nameAlias</t>
  </si>
  <si>
    <t>descr</t>
  </si>
  <si>
    <t>non-production</t>
  </si>
  <si>
    <t>dmz</t>
  </si>
  <si>
    <t>non-prod</t>
  </si>
  <si>
    <t>DMZ security zone</t>
  </si>
  <si>
    <t>Non-production security zone</t>
  </si>
  <si>
    <t>enforced</t>
  </si>
  <si>
    <t>ingress</t>
  </si>
  <si>
    <t>enabled</t>
  </si>
  <si>
    <t>tenant</t>
  </si>
  <si>
    <t>bdEnforcedEnable</t>
  </si>
  <si>
    <t>ipDataPlaneLearning</t>
  </si>
  <si>
    <t>knwMcastAct</t>
  </si>
  <si>
    <t>pcEnfDir</t>
  </si>
  <si>
    <t>pcEnfPref</t>
  </si>
  <si>
    <t>permit</t>
  </si>
  <si>
    <t>no</t>
  </si>
  <si>
    <t>OptimizeWanBandwidth</t>
  </si>
  <si>
    <t>arpFlood</t>
  </si>
  <si>
    <t>epClear</t>
  </si>
  <si>
    <t>epMoveDetectMode</t>
  </si>
  <si>
    <t>hostBasedRouting</t>
  </si>
  <si>
    <t>intersiteBumTrafficAllow</t>
  </si>
  <si>
    <t>intersiteL2Stretch</t>
  </si>
  <si>
    <t>ipLearning</t>
  </si>
  <si>
    <t>yes</t>
  </si>
  <si>
    <t>limitIpLearnToSubnets</t>
  </si>
  <si>
    <t>llAddr</t>
  </si>
  <si>
    <t>::</t>
  </si>
  <si>
    <t>mac</t>
  </si>
  <si>
    <t>mcastAllow</t>
  </si>
  <si>
    <t>multiDstPktAct</t>
  </si>
  <si>
    <t>regular</t>
  </si>
  <si>
    <t>unicastRoute</t>
  </si>
  <si>
    <t>unkMacUcastAct</t>
  </si>
  <si>
    <t>proxy</t>
  </si>
  <si>
    <t>unkMcastAct</t>
  </si>
  <si>
    <t>flood</t>
  </si>
  <si>
    <t>v6unkMcastAct</t>
  </si>
  <si>
    <t>vmac</t>
  </si>
  <si>
    <t>not-applicable</t>
  </si>
  <si>
    <t>bd-vlan100</t>
  </si>
  <si>
    <t>bd-vlan101</t>
  </si>
  <si>
    <t>bd-vlan102</t>
  </si>
  <si>
    <t>bd-flood</t>
  </si>
  <si>
    <t>ip</t>
  </si>
  <si>
    <t>preferred</t>
  </si>
  <si>
    <t>virtual</t>
  </si>
  <si>
    <t>192.168.10.1/24</t>
  </si>
  <si>
    <t>192.168.11.1/24</t>
  </si>
  <si>
    <t>192.168.12.1/24</t>
  </si>
  <si>
    <t>192.168.13.1/24</t>
  </si>
  <si>
    <t>192.168.14.1/24</t>
  </si>
  <si>
    <t>192.168.15.1/24</t>
  </si>
  <si>
    <t>VLAN100-TestSubnet</t>
  </si>
  <si>
    <t>VLAN101-TestSubnet</t>
  </si>
  <si>
    <t>VLAN102-TestSubnet</t>
  </si>
  <si>
    <t>subnet_VLAN101_192.168.12.1</t>
  </si>
  <si>
    <t>subnet_VLAN101_192.168.13.1</t>
  </si>
  <si>
    <t>subnet_VLAN101_192.168.14.1</t>
  </si>
  <si>
    <t>subnet_VLAN101_192.168.15.1</t>
  </si>
  <si>
    <t>subnet_VLAN100_192.168.10.1</t>
  </si>
  <si>
    <t>subnet_VLAN100_192.168.11.1</t>
  </si>
  <si>
    <t>VLAN100_test_subnet01</t>
  </si>
  <si>
    <t>VLAN101_test_subnet01</t>
  </si>
  <si>
    <t>VLAN100_test_subnet02</t>
  </si>
  <si>
    <t>VLAN101_test_subnet02</t>
  </si>
  <si>
    <t>VLAN102_test_subnet01</t>
  </si>
  <si>
    <t>VLAN102_test_subnet02</t>
  </si>
  <si>
    <t>floodOnEncap</t>
  </si>
  <si>
    <t>fwdCtrl</t>
  </si>
  <si>
    <t>proxy-arp</t>
  </si>
  <si>
    <t>hasMcastSource</t>
  </si>
  <si>
    <t>isAttrBasedEPg</t>
  </si>
  <si>
    <t>matchT</t>
  </si>
  <si>
    <t>prefGrMemb</t>
  </si>
  <si>
    <t>include</t>
  </si>
  <si>
    <t>shutdown</t>
  </si>
  <si>
    <t>AtleastOne</t>
  </si>
  <si>
    <t>domain</t>
  </si>
  <si>
    <t>tag</t>
  </si>
  <si>
    <t>targetDscp</t>
  </si>
  <si>
    <t>reevaluateAll</t>
  </si>
  <si>
    <t>prio</t>
  </si>
  <si>
    <t>level3</t>
  </si>
  <si>
    <t>unspecified</t>
  </si>
  <si>
    <t>network</t>
  </si>
  <si>
    <t>subCategory</t>
  </si>
  <si>
    <t>epg</t>
  </si>
  <si>
    <t>application-profile</t>
  </si>
  <si>
    <t>contractConsume</t>
  </si>
  <si>
    <t>contractProvide</t>
  </si>
  <si>
    <t>rch_domain_app</t>
  </si>
  <si>
    <t>core_phyDom</t>
  </si>
  <si>
    <t>Build Generation</t>
  </si>
  <si>
    <t>RCH</t>
  </si>
  <si>
    <t>Build File Generation</t>
  </si>
  <si>
    <t>category</t>
  </si>
  <si>
    <t>vlan403_epg</t>
  </si>
  <si>
    <t>vrf</t>
  </si>
  <si>
    <t>core</t>
  </si>
  <si>
    <t>vlan404_epg</t>
  </si>
  <si>
    <t>vlan405_epg</t>
  </si>
  <si>
    <t>scope</t>
  </si>
  <si>
    <t>security</t>
  </si>
  <si>
    <t>contract</t>
  </si>
  <si>
    <t>consMatchT</t>
  </si>
  <si>
    <t>provMatchT</t>
  </si>
  <si>
    <t>revFltPorts</t>
  </si>
  <si>
    <t>subject</t>
  </si>
  <si>
    <t>filter</t>
  </si>
  <si>
    <t>applyToFrag</t>
  </si>
  <si>
    <t>any</t>
  </si>
  <si>
    <t>filterEntry</t>
  </si>
  <si>
    <t>arpOpc</t>
  </si>
  <si>
    <t>dFromPort</t>
  </si>
  <si>
    <t>dToPort</t>
  </si>
  <si>
    <t>etherT</t>
  </si>
  <si>
    <t>icmpv4T</t>
  </si>
  <si>
    <t>icmpv6T</t>
  </si>
  <si>
    <t>matchDscp</t>
  </si>
  <si>
    <t>prot</t>
  </si>
  <si>
    <t>sFromPort</t>
  </si>
  <si>
    <t>sToPort</t>
  </si>
  <si>
    <t>stateful</t>
  </si>
  <si>
    <t>tcpRules</t>
  </si>
  <si>
    <t>any_con</t>
  </si>
  <si>
    <t>vlan401_epg</t>
  </si>
  <si>
    <t>vlan402_epg</t>
  </si>
  <si>
    <t>vlan406_epg</t>
  </si>
  <si>
    <t>vlan407_epg</t>
  </si>
  <si>
    <t>vlan408_epg</t>
  </si>
  <si>
    <t>vlan409_epg</t>
  </si>
  <si>
    <t>vlan410_epg</t>
  </si>
  <si>
    <t>vlan411_epg</t>
  </si>
  <si>
    <t>vlan412_epg</t>
  </si>
  <si>
    <t>vlan413_epg</t>
  </si>
  <si>
    <t>vlan414_epg</t>
  </si>
  <si>
    <t>vlan415_epg</t>
  </si>
  <si>
    <t>vlan416_epg</t>
  </si>
  <si>
    <t>vlan417_epg</t>
  </si>
  <si>
    <t>vlan418_epg</t>
  </si>
  <si>
    <t>vlan419_epg</t>
  </si>
  <si>
    <t>vlan420_epg</t>
  </si>
  <si>
    <t>vlan421_epg</t>
  </si>
  <si>
    <t>vlan422_epg</t>
  </si>
  <si>
    <t>vlan497_epg</t>
  </si>
  <si>
    <t>vlan501_epg</t>
  </si>
  <si>
    <t>vlan502_epg</t>
  </si>
  <si>
    <t>vlan503_epg</t>
  </si>
  <si>
    <t>vlan504_epg</t>
  </si>
  <si>
    <t>vlan505_epg</t>
  </si>
  <si>
    <t>vlan506_epg</t>
  </si>
  <si>
    <t>vlan507_epg</t>
  </si>
  <si>
    <t>vlan508_epg</t>
  </si>
  <si>
    <t>vlan509_epg</t>
  </si>
  <si>
    <t>vlan510_epg</t>
  </si>
  <si>
    <t>vlan515_epg</t>
  </si>
  <si>
    <t>vlan516_epg</t>
  </si>
  <si>
    <t>vlan517_epg</t>
  </si>
  <si>
    <t>vlan518_epg</t>
  </si>
  <si>
    <t>vlan519_epg</t>
  </si>
  <si>
    <t>vlan520_epg</t>
  </si>
  <si>
    <t>vlan521_epg</t>
  </si>
  <si>
    <t>vlan522_epg</t>
  </si>
  <si>
    <t>vlan523_epg</t>
  </si>
  <si>
    <t>vlan524_epg</t>
  </si>
  <si>
    <t>vlan525_epg</t>
  </si>
  <si>
    <t>vlan526_epg</t>
  </si>
  <si>
    <t>vlan527_epg</t>
  </si>
  <si>
    <t>vlan528_epg</t>
  </si>
  <si>
    <t>vlan529_epg</t>
  </si>
  <si>
    <t>vlan530_epg</t>
  </si>
  <si>
    <t>vlan531_epg</t>
  </si>
  <si>
    <t>vlan593_epg</t>
  </si>
  <si>
    <t>vlan595_epg</t>
  </si>
  <si>
    <t>vlan901_epg</t>
  </si>
  <si>
    <t>vlan902_epg</t>
  </si>
  <si>
    <t>vlan903_epg</t>
  </si>
  <si>
    <t>vlan904_epg</t>
  </si>
  <si>
    <t>vlan905_epg</t>
  </si>
  <si>
    <t>vlan906_epg</t>
  </si>
  <si>
    <t>vlan907_epg</t>
  </si>
  <si>
    <t>vlan908_epg</t>
  </si>
  <si>
    <t>vlan909_epg</t>
  </si>
  <si>
    <t>vlan910_epg</t>
  </si>
  <si>
    <t>vlan911_epg</t>
  </si>
  <si>
    <t>vlan912_epg</t>
  </si>
  <si>
    <t>vlan401_bd</t>
  </si>
  <si>
    <t>vlan402_bd</t>
  </si>
  <si>
    <t>vlan403_bd</t>
  </si>
  <si>
    <t>vlan404_bd</t>
  </si>
  <si>
    <t>vlan405_bd</t>
  </si>
  <si>
    <t>vlan406_bd</t>
  </si>
  <si>
    <t>vlan407_bd</t>
  </si>
  <si>
    <t>vlan408_bd</t>
  </si>
  <si>
    <t>vlan409_bd</t>
  </si>
  <si>
    <t>vlan410_bd</t>
  </si>
  <si>
    <t>vlan411_bd</t>
  </si>
  <si>
    <t>vlan412_bd</t>
  </si>
  <si>
    <t>vlan413_bd</t>
  </si>
  <si>
    <t>vlan414_bd</t>
  </si>
  <si>
    <t>vlan415_bd</t>
  </si>
  <si>
    <t>vlan416_bd</t>
  </si>
  <si>
    <t>vlan417_bd</t>
  </si>
  <si>
    <t>vlan418_bd</t>
  </si>
  <si>
    <t>vlan419_bd</t>
  </si>
  <si>
    <t>vlan420_bd</t>
  </si>
  <si>
    <t>vlan421_bd</t>
  </si>
  <si>
    <t>vlan422_bd</t>
  </si>
  <si>
    <t>vlan423_bd</t>
  </si>
  <si>
    <t>vlan497_bd</t>
  </si>
  <si>
    <t>vlan501_bd</t>
  </si>
  <si>
    <t>vlan502_bd</t>
  </si>
  <si>
    <t>vlan503_bd</t>
  </si>
  <si>
    <t>vlan504_bd</t>
  </si>
  <si>
    <t>vlan505_bd</t>
  </si>
  <si>
    <t>vlan506_bd</t>
  </si>
  <si>
    <t>vlan507_bd</t>
  </si>
  <si>
    <t>vlan508_bd</t>
  </si>
  <si>
    <t>vlan509_bd</t>
  </si>
  <si>
    <t>vlan510_bd</t>
  </si>
  <si>
    <t>vlan515_bd</t>
  </si>
  <si>
    <t>vlan516_bd</t>
  </si>
  <si>
    <t>vlan517_bd</t>
  </si>
  <si>
    <t>vlan518_bd</t>
  </si>
  <si>
    <t>vlan519_bd</t>
  </si>
  <si>
    <t>vlan520_bd</t>
  </si>
  <si>
    <t>vlan521_bd</t>
  </si>
  <si>
    <t>vlan522_bd</t>
  </si>
  <si>
    <t>vlan523_bd</t>
  </si>
  <si>
    <t>vlan524_bd</t>
  </si>
  <si>
    <t>vlan525_bd</t>
  </si>
  <si>
    <t>vlan526_bd</t>
  </si>
  <si>
    <t>vlan527_bd</t>
  </si>
  <si>
    <t>vlan528_bd</t>
  </si>
  <si>
    <t>vlan529_bd</t>
  </si>
  <si>
    <t>vlan530_bd</t>
  </si>
  <si>
    <t>vlan531_bd</t>
  </si>
  <si>
    <t>vlan533_bd</t>
  </si>
  <si>
    <t>vlan534_bd</t>
  </si>
  <si>
    <t>vlan535_bd</t>
  </si>
  <si>
    <t>vlan536_bd</t>
  </si>
  <si>
    <t>vlan593_bd</t>
  </si>
  <si>
    <t>vlan595_bd</t>
  </si>
  <si>
    <t>vlan901_bd</t>
  </si>
  <si>
    <t>vlan902_bd</t>
  </si>
  <si>
    <t>vlan903_bd</t>
  </si>
  <si>
    <t>vlan904_bd</t>
  </si>
  <si>
    <t>vlan905_bd</t>
  </si>
  <si>
    <t>vlan906_bd</t>
  </si>
  <si>
    <t>vlan907_bd</t>
  </si>
  <si>
    <t>vlan908_bd</t>
  </si>
  <si>
    <t>vlan909_bd</t>
  </si>
  <si>
    <t>vlan910_bd</t>
  </si>
  <si>
    <t>vlan911_bd</t>
  </si>
  <si>
    <t>vlan912_bd</t>
  </si>
  <si>
    <t>Core Production VRF</t>
  </si>
  <si>
    <t>any_subj</t>
  </si>
  <si>
    <t>any_filt</t>
  </si>
  <si>
    <t>Network-Centric application profile</t>
  </si>
  <si>
    <t>poolName</t>
  </si>
  <si>
    <t>poolType</t>
  </si>
  <si>
    <t>securityDomain</t>
  </si>
  <si>
    <t>global</t>
  </si>
  <si>
    <t>physicalDomain</t>
  </si>
  <si>
    <t>core_static_vl</t>
  </si>
  <si>
    <t>static</t>
  </si>
  <si>
    <t>routedDomain</t>
  </si>
  <si>
    <t>switch</t>
  </si>
  <si>
    <t>leaf</t>
  </si>
  <si>
    <t>leafName</t>
  </si>
  <si>
    <t>nodeBlock</t>
  </si>
  <si>
    <t>intProfile</t>
  </si>
  <si>
    <t>policyGroup</t>
  </si>
  <si>
    <t>101_swiProf</t>
  </si>
  <si>
    <t>102_swiProf</t>
  </si>
  <si>
    <t>101_intProf</t>
  </si>
  <si>
    <t>leaf_swiPolGrp</t>
  </si>
  <si>
    <t>102_intProf</t>
  </si>
  <si>
    <t>111_swiProf</t>
  </si>
  <si>
    <t>112_swiProf</t>
  </si>
  <si>
    <t>121_swiProf</t>
  </si>
  <si>
    <t>122_swiProf</t>
  </si>
  <si>
    <t>123_swiProf</t>
  </si>
  <si>
    <t>124_swiProf</t>
  </si>
  <si>
    <t>125_swiProf</t>
  </si>
  <si>
    <t>126_swiProf</t>
  </si>
  <si>
    <t>127_swiProf</t>
  </si>
  <si>
    <t>128_swiProf</t>
  </si>
  <si>
    <t>129_swiProf</t>
  </si>
  <si>
    <t>130_swiProf</t>
  </si>
  <si>
    <t>131_swiProf</t>
  </si>
  <si>
    <t>132_swiProf</t>
  </si>
  <si>
    <t>133_swiProf</t>
  </si>
  <si>
    <t>134_swiProf</t>
  </si>
  <si>
    <t>135_swiProf</t>
  </si>
  <si>
    <t>136_swiProf</t>
  </si>
  <si>
    <t>137_swiProf</t>
  </si>
  <si>
    <t>138_swiProf</t>
  </si>
  <si>
    <t>101_102_swiProf</t>
  </si>
  <si>
    <t>111_112_swiProf</t>
  </si>
  <si>
    <t>121_122_swiProf</t>
  </si>
  <si>
    <t>123_124_swiProf</t>
  </si>
  <si>
    <t>125_126_swiProf</t>
  </si>
  <si>
    <t>127_128_swiProf</t>
  </si>
  <si>
    <t>129_130_swiProf</t>
  </si>
  <si>
    <t>131_132_swiProf</t>
  </si>
  <si>
    <t>133_134_swiProf</t>
  </si>
  <si>
    <t>135_136_swiProf</t>
  </si>
  <si>
    <t>137_138_swiProf</t>
  </si>
  <si>
    <t>201_swiProf</t>
  </si>
  <si>
    <t>202_swiProf</t>
  </si>
  <si>
    <t>211_swiProf</t>
  </si>
  <si>
    <t>212_swiProf</t>
  </si>
  <si>
    <t>221_swiProf</t>
  </si>
  <si>
    <t>222_swiProf</t>
  </si>
  <si>
    <t>201_202_swiProf</t>
  </si>
  <si>
    <t>211_212_swiProf</t>
  </si>
  <si>
    <t>221_222_swiProf</t>
  </si>
  <si>
    <t>101-102</t>
  </si>
  <si>
    <t>111-112</t>
  </si>
  <si>
    <t>121-122</t>
  </si>
  <si>
    <t>123-124</t>
  </si>
  <si>
    <t>125-126</t>
  </si>
  <si>
    <t>127-128</t>
  </si>
  <si>
    <t>129-130</t>
  </si>
  <si>
    <t>131-132</t>
  </si>
  <si>
    <t>133-134</t>
  </si>
  <si>
    <t>135-136</t>
  </si>
  <si>
    <t>137-138</t>
  </si>
  <si>
    <t>201-202</t>
  </si>
  <si>
    <t>211-212</t>
  </si>
  <si>
    <t>221-222</t>
  </si>
  <si>
    <t>switchPolicy</t>
  </si>
  <si>
    <t>spineName</t>
  </si>
  <si>
    <t>spine_swiPolGrp</t>
  </si>
  <si>
    <t>vpcProtectionGroup</t>
  </si>
  <si>
    <t>vpcID</t>
  </si>
  <si>
    <t>tnVpcInstPolName</t>
  </si>
  <si>
    <t>default</t>
  </si>
  <si>
    <t>podId</t>
  </si>
  <si>
    <t>nodeID01</t>
  </si>
  <si>
    <t>nodeID02</t>
  </si>
  <si>
    <t>spine</t>
  </si>
  <si>
    <t>nodeType</t>
  </si>
  <si>
    <t>interface</t>
  </si>
  <si>
    <t>profile</t>
  </si>
  <si>
    <t>111_intProf</t>
  </si>
  <si>
    <t>112_intProf</t>
  </si>
  <si>
    <t>121_intProf</t>
  </si>
  <si>
    <t>122_intProf</t>
  </si>
  <si>
    <t>123_intProf</t>
  </si>
  <si>
    <t>124_intProf</t>
  </si>
  <si>
    <t>125_intProf</t>
  </si>
  <si>
    <t>126_intProf</t>
  </si>
  <si>
    <t>127_intProf</t>
  </si>
  <si>
    <t>128_intProf</t>
  </si>
  <si>
    <t>129_intProf</t>
  </si>
  <si>
    <t>130_intProf</t>
  </si>
  <si>
    <t>131_intProf</t>
  </si>
  <si>
    <t>132_intProf</t>
  </si>
  <si>
    <t>133_intProf</t>
  </si>
  <si>
    <t>134_intProf</t>
  </si>
  <si>
    <t>135_intProf</t>
  </si>
  <si>
    <t>136_intProf</t>
  </si>
  <si>
    <t>137_intProf</t>
  </si>
  <si>
    <t>138_intProf</t>
  </si>
  <si>
    <t>101_102_intProf</t>
  </si>
  <si>
    <t>111_112_intProf</t>
  </si>
  <si>
    <t>121_122_intProf</t>
  </si>
  <si>
    <t>123_124_intProf</t>
  </si>
  <si>
    <t>125_126_intProf</t>
  </si>
  <si>
    <t>127_128_intProf</t>
  </si>
  <si>
    <t>129_130_intProf</t>
  </si>
  <si>
    <t>131_132_intProf</t>
  </si>
  <si>
    <t>133_134_intProf</t>
  </si>
  <si>
    <t>135_136_intProf</t>
  </si>
  <si>
    <t>137_138_intProf</t>
  </si>
  <si>
    <t>201_intProf</t>
  </si>
  <si>
    <t>202_intProf</t>
  </si>
  <si>
    <t>211_intProf</t>
  </si>
  <si>
    <t>212_intProf</t>
  </si>
  <si>
    <t>221_intProf</t>
  </si>
  <si>
    <t>222_intProf</t>
  </si>
  <si>
    <t>201_202_intProf</t>
  </si>
  <si>
    <t>211_212_intProf</t>
  </si>
  <si>
    <t>221_222_intProf</t>
  </si>
  <si>
    <t>spine301_intProf</t>
  </si>
  <si>
    <t>spine302_intProf</t>
  </si>
  <si>
    <t>spine311_intProf</t>
  </si>
  <si>
    <t>spine312_intProf</t>
  </si>
  <si>
    <t>00:22:BD:F8:00:10</t>
  </si>
  <si>
    <t>00:22:BD:F8:00:11</t>
  </si>
  <si>
    <t>00:22:BD:F8:00:12</t>
  </si>
  <si>
    <t>00:22:BD:F8:00:13</t>
  </si>
  <si>
    <t>00:22:BD:F8:00:14</t>
  </si>
  <si>
    <t>00:22:BD:F8:00:15</t>
  </si>
  <si>
    <t>00:22:BD:F8:00:16</t>
  </si>
  <si>
    <t>00:22:BD:F8:00:17</t>
  </si>
  <si>
    <t>00:22:BD:F8:00:18</t>
  </si>
  <si>
    <t>00:22:BD:F8:00:19</t>
  </si>
  <si>
    <t>00:22:BD:F8:00:20</t>
  </si>
  <si>
    <t>00:22:BD:F8:00:21</t>
  </si>
  <si>
    <t>00:22:BD:F8:00:22</t>
  </si>
  <si>
    <t>00:22:BD:F8:00:23</t>
  </si>
  <si>
    <t>00:22:BD:F8:00:24</t>
  </si>
  <si>
    <t>00:22:BD:F8:00:25</t>
  </si>
  <si>
    <t>00:22:BD:F8:00:26</t>
  </si>
  <si>
    <t>00:22:BD:F8:00:27</t>
  </si>
  <si>
    <t>00:22:BD:F8:00:28</t>
  </si>
  <si>
    <t>00:22:BD:F8:00:29</t>
  </si>
  <si>
    <t>00:22:BD:F8:00:30</t>
  </si>
  <si>
    <t>00:22:BD:F8:00:31</t>
  </si>
  <si>
    <t>00:22:BD:F8:00:32</t>
  </si>
  <si>
    <t>00:22:BD:F8:00:33</t>
  </si>
  <si>
    <t>00:22:BD:F8:00:34</t>
  </si>
  <si>
    <t>00:22:BD:F8:00:35</t>
  </si>
  <si>
    <t>00:22:BD:F8:00:36</t>
  </si>
  <si>
    <t>00:22:BD:F8:00:37</t>
  </si>
  <si>
    <t>00:22:BD:F8:00:38</t>
  </si>
  <si>
    <t>00:22:BD:F8:00:39</t>
  </si>
  <si>
    <t>00:22:BD:F8:00:40</t>
  </si>
  <si>
    <t>00:22:BD:F8:00:41</t>
  </si>
  <si>
    <t>00:22:BD:F8:00:42</t>
  </si>
  <si>
    <t>00:22:BD:F8:00:43</t>
  </si>
  <si>
    <t>00:22:BD:F8:00:44</t>
  </si>
  <si>
    <t>00:22:BD:F8:00:45</t>
  </si>
  <si>
    <t>00:22:BD:F8:00:46</t>
  </si>
  <si>
    <t>00:22:BD:F8:00:47</t>
  </si>
  <si>
    <t>00:22:BD:F8:00:48</t>
  </si>
  <si>
    <t>00:22:BD:F8:00:49</t>
  </si>
  <si>
    <t>00:22:BD:F8:00:50</t>
  </si>
  <si>
    <t>00:22:BD:F8:00:51</t>
  </si>
  <si>
    <t>00:22:BD:F8:00:52</t>
  </si>
  <si>
    <t>00:22:BD:F8:00:53</t>
  </si>
  <si>
    <t>00:22:BD:F8:00:54</t>
  </si>
  <si>
    <t>00:22:BD:F8:00:55</t>
  </si>
  <si>
    <t>00:22:BD:F8:00:56</t>
  </si>
  <si>
    <t>00:22:BD:F8:00:57</t>
  </si>
  <si>
    <t>00:22:BD:F8:00:58</t>
  </si>
  <si>
    <t>00:22:BD:F8:00:59</t>
  </si>
  <si>
    <t>00:22:BD:F8:00:60</t>
  </si>
  <si>
    <t>00:22:BD:F8:00:61</t>
  </si>
  <si>
    <t>00:22:BD:F8:00:62</t>
  </si>
  <si>
    <t>00:22:BD:F8:00:63</t>
  </si>
  <si>
    <t>00:22:BD:F8:00:64</t>
  </si>
  <si>
    <t>00:22:BD:F8:00:65</t>
  </si>
  <si>
    <t>00:22:BD:F8:00:66</t>
  </si>
  <si>
    <t>00:22:BD:F8:00:67</t>
  </si>
  <si>
    <t>00:22:BD:F8:00:68</t>
  </si>
  <si>
    <t>00:22:BD:F8:00:69</t>
  </si>
  <si>
    <t>00:22:BD:F8:00:70</t>
  </si>
  <si>
    <t>00:22:BD:F8:00:71</t>
  </si>
  <si>
    <t>00:22:BD:F8:00:72</t>
  </si>
  <si>
    <t>00:22:BD:F8:00:73</t>
  </si>
  <si>
    <t>00:22:BD:F8:00:74</t>
  </si>
  <si>
    <t>00:22:BD:F8:00:75</t>
  </si>
  <si>
    <t>00:22:BD:F8:00:76</t>
  </si>
  <si>
    <t>00:22:BD:F8:00:77</t>
  </si>
  <si>
    <t>00:22:BD:F8:00:78</t>
  </si>
  <si>
    <t>bridge-domain</t>
  </si>
  <si>
    <t>bridgeDomainLink</t>
  </si>
  <si>
    <t>l3out</t>
  </si>
  <si>
    <t>enablePIM</t>
  </si>
  <si>
    <t>core_eigrp_pod1_l3out</t>
  </si>
  <si>
    <t>core_eigrp_pod2_l3out</t>
  </si>
  <si>
    <t>utility_eigrp_pod1_l3out</t>
  </si>
  <si>
    <t>utility_eigrp_pod2_l3out</t>
  </si>
  <si>
    <t>paloAlto_bgp_pod1_l3out</t>
  </si>
  <si>
    <t>paloAlto_bgp_pod2_l3out</t>
  </si>
  <si>
    <t>perimFW_static_pod1_l3out</t>
  </si>
  <si>
    <t>perimFW_static_pod2_l3out</t>
  </si>
  <si>
    <t>vg01_eigrp_pod1_l3out</t>
  </si>
  <si>
    <t>vg02_eigrp_pod1_l3out</t>
  </si>
  <si>
    <t>vg03_eigrp_pod2_l3out</t>
  </si>
  <si>
    <t>vg04_eigrp_pod1_l3out</t>
  </si>
  <si>
    <t>vg05_eigrp_pod1_l3out</t>
  </si>
  <si>
    <t>vg06_eigrp_pod1_l3out</t>
  </si>
  <si>
    <t>wbh_eigrp_pod1_l3out</t>
  </si>
  <si>
    <t>extDomain</t>
  </si>
  <si>
    <t>core_pod1_extDom</t>
  </si>
  <si>
    <t>core_pod2_extDom</t>
  </si>
  <si>
    <t>utility_pod1_extDom</t>
  </si>
  <si>
    <t>utility_pod2_extDom</t>
  </si>
  <si>
    <t>palo01_pod1_extDom</t>
  </si>
  <si>
    <t>palo01_pod2_extDom</t>
  </si>
  <si>
    <t>perimFW_pod1_extDom</t>
  </si>
  <si>
    <t>perimFW_pod2_extDom</t>
  </si>
  <si>
    <t>vg01_pod1_extDom</t>
  </si>
  <si>
    <t>vg02_pod1_extDom</t>
  </si>
  <si>
    <t>vg03_pod2_extDom</t>
  </si>
  <si>
    <t>vg04_pod1_extDom</t>
  </si>
  <si>
    <t>vg05_pod1_extDom</t>
  </si>
  <si>
    <t>vg06_pod1_extDom</t>
  </si>
  <si>
    <t>wbh_pod1_extDom</t>
  </si>
  <si>
    <t>multipod_phyDom</t>
  </si>
  <si>
    <t>palo_pod1_extDom</t>
  </si>
  <si>
    <t>palo_pod2_extDom</t>
  </si>
  <si>
    <t>perim_pod1_extDom</t>
  </si>
  <si>
    <t>perim_pod2_extDom</t>
  </si>
  <si>
    <t>ipn_static_vl</t>
  </si>
  <si>
    <t>l3out_core_pod01_vl</t>
  </si>
  <si>
    <t>l3out_core_pod02_vl</t>
  </si>
  <si>
    <t>l3out_utility_pod01_vl</t>
  </si>
  <si>
    <t>l3out_utility_pod02_vl</t>
  </si>
  <si>
    <t>l3out_palo_pod01_01_vl</t>
  </si>
  <si>
    <t>l3out_palo_pod01_02_vl</t>
  </si>
  <si>
    <t>l3out_perim_pod01_vl</t>
  </si>
  <si>
    <t>l3out_perim_pod02_vl</t>
  </si>
  <si>
    <t>encap</t>
  </si>
  <si>
    <t>JUICE</t>
  </si>
  <si>
    <t>This is a juicy tenant</t>
  </si>
  <si>
    <t>juice_secDom</t>
  </si>
  <si>
    <t>juicy_apps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</si>
</sst>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/>
    <xf numFmtId="0" fontId="3" fillId="2" borderId="1" xfId="0" applyFont="1" applyFill="1" applyBorder="1"/>
    <xf numFmtId="0" fontId="0" fillId="0" borderId="1" xfId="0" applyFont="1" applyBorder="1"/>
    <xf numFmtId="0" fontId="4" fillId="2" borderId="0" xfId="0" applyFont="1" applyFill="1"/>
    <xf numFmtId="0" fontId="0" fillId="0" borderId="2" xfId="0" applyBorder="1"/>
    <xf numFmtId="0" fontId="3" fillId="2" borderId="0" xfId="0" applyFont="1" applyFill="1"/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0" borderId="3" xfId="0" applyFill="1" applyBorder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1D525A-A2FA-43B2-ACBA-F82A5B3A424C}" name="Table1" displayName="Table1" ref="A1:A3" totalsRowShown="0" headerRowDxfId="0">
  <autoFilter ref="A1:A3" xr:uid="{B53F7553-3ECA-4E0D-86AD-836E79EAAE85}"/>
  <tableColumns count="1">
    <tableColumn id="1" xr3:uid="{DCA13D2F-F85A-4B76-86AF-B8336B3C593B}" name="node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5C8C0-9ACC-4F77-AACA-9B5B3C63D931}">
  <sheetPr>
    <tabColor theme="7" tint="0.59999389629810485"/>
  </sheetPr>
  <dimension ref="A1:J40"/>
  <sheetViews>
    <sheetView zoomScale="90" zoomScaleNormal="90" workbookViewId="0">
      <selection activeCell="C7" sqref="C7"/>
    </sheetView>
  </sheetViews>
  <sheetFormatPr defaultRowHeight="15" x14ac:dyDescent="0.25"/>
  <cols>
    <col min="1" max="1" width="11.140625" bestFit="1" customWidth="1"/>
    <col min="2" max="2" width="14.42578125" bestFit="1" customWidth="1"/>
    <col min="3" max="3" width="19.5703125" customWidth="1"/>
    <col min="4" max="4" width="14.28515625" customWidth="1"/>
    <col min="5" max="5" width="23.140625" bestFit="1" customWidth="1"/>
    <col min="6" max="6" width="56.5703125" customWidth="1"/>
    <col min="7" max="7" width="10.7109375" customWidth="1"/>
    <col min="8" max="8" width="18.85546875" customWidth="1"/>
    <col min="9" max="9" width="17.5703125" customWidth="1"/>
    <col min="10" max="10" width="12.42578125" customWidth="1"/>
  </cols>
  <sheetData>
    <row r="1" spans="1:10" x14ac:dyDescent="0.25">
      <c r="A1" s="3" t="s">
        <v>101</v>
      </c>
      <c r="B1" s="3" t="s">
        <v>91</v>
      </c>
      <c r="C1" s="3" t="s">
        <v>0</v>
      </c>
      <c r="D1" s="3" t="s">
        <v>3</v>
      </c>
      <c r="E1" s="3" t="s">
        <v>4</v>
      </c>
      <c r="F1" s="3" t="s">
        <v>100</v>
      </c>
      <c r="G1" s="1"/>
      <c r="H1" s="1"/>
      <c r="I1" s="1"/>
      <c r="J1" s="1"/>
    </row>
    <row r="2" spans="1:10" x14ac:dyDescent="0.25">
      <c r="A2" s="2" t="s">
        <v>13</v>
      </c>
      <c r="B2" s="2" t="s">
        <v>13</v>
      </c>
      <c r="C2" s="2" t="s">
        <v>515</v>
      </c>
      <c r="D2" s="2"/>
      <c r="E2" s="2" t="s">
        <v>516</v>
      </c>
      <c r="F2" s="2" t="str">
        <f>CONCATENATE($C$1,":",C2,";",$D$1,":",D2,";",$E$1,":",E2)</f>
        <v>name:JUICE;nameAlias:;descr:This is a juicy tenant</v>
      </c>
    </row>
    <row r="3" spans="1:10" x14ac:dyDescent="0.25">
      <c r="A3" s="2"/>
      <c r="B3" s="2"/>
      <c r="C3" s="2"/>
      <c r="D3" s="2"/>
      <c r="E3" s="2"/>
      <c r="F3" s="2"/>
    </row>
    <row r="4" spans="1:10" x14ac:dyDescent="0.25">
      <c r="A4" s="2"/>
      <c r="B4" s="2"/>
      <c r="C4" s="2"/>
      <c r="D4" s="2"/>
      <c r="E4" s="2"/>
      <c r="F4" s="2"/>
    </row>
    <row r="5" spans="1:10" x14ac:dyDescent="0.25">
      <c r="A5" s="2"/>
      <c r="B5" s="2"/>
      <c r="C5" s="2"/>
      <c r="D5" s="2"/>
      <c r="E5" s="2"/>
      <c r="F5" s="2"/>
    </row>
    <row r="6" spans="1:10" x14ac:dyDescent="0.25">
      <c r="A6" s="2"/>
      <c r="B6" s="2"/>
      <c r="C6" s="2"/>
      <c r="D6" s="2"/>
      <c r="E6" s="2"/>
      <c r="F6" s="2"/>
    </row>
    <row r="7" spans="1:10" x14ac:dyDescent="0.25">
      <c r="A7" s="2"/>
      <c r="B7" s="2"/>
      <c r="C7" s="2"/>
      <c r="D7" s="2"/>
      <c r="E7" s="2"/>
      <c r="F7" s="2"/>
    </row>
    <row r="8" spans="1:10" x14ac:dyDescent="0.25">
      <c r="A8" s="2"/>
      <c r="B8" s="2"/>
      <c r="C8" s="2"/>
      <c r="D8" s="2"/>
      <c r="E8" s="2"/>
      <c r="F8" s="2"/>
    </row>
    <row r="9" spans="1:10" x14ac:dyDescent="0.25">
      <c r="A9" s="2"/>
      <c r="B9" s="2"/>
      <c r="C9" s="2"/>
      <c r="D9" s="2"/>
      <c r="E9" s="2"/>
      <c r="F9" s="2"/>
    </row>
    <row r="10" spans="1:10" x14ac:dyDescent="0.25">
      <c r="A10" s="2"/>
      <c r="B10" s="2"/>
      <c r="C10" s="2"/>
      <c r="D10" s="2"/>
      <c r="E10" s="2"/>
      <c r="F10" s="2"/>
    </row>
    <row r="11" spans="1:10" x14ac:dyDescent="0.25">
      <c r="A11" s="2"/>
      <c r="B11" s="2"/>
      <c r="C11" s="2"/>
      <c r="D11" s="2"/>
      <c r="E11" s="2"/>
      <c r="F11" s="2"/>
    </row>
    <row r="12" spans="1:10" x14ac:dyDescent="0.25">
      <c r="A12" s="2"/>
      <c r="B12" s="2"/>
      <c r="C12" s="2"/>
      <c r="D12" s="2"/>
      <c r="E12" s="2"/>
      <c r="F12" s="2"/>
    </row>
    <row r="13" spans="1:10" x14ac:dyDescent="0.25">
      <c r="A13" s="2"/>
      <c r="B13" s="2"/>
      <c r="C13" s="2"/>
      <c r="D13" s="2"/>
      <c r="E13" s="2"/>
      <c r="F13" s="2"/>
    </row>
    <row r="14" spans="1:10" x14ac:dyDescent="0.25">
      <c r="A14" s="2"/>
      <c r="B14" s="2"/>
      <c r="C14" s="2"/>
      <c r="D14" s="2"/>
      <c r="E14" s="2"/>
      <c r="F14" s="2"/>
    </row>
    <row r="15" spans="1:10" x14ac:dyDescent="0.25">
      <c r="A15" s="2"/>
      <c r="B15" s="2"/>
      <c r="C15" s="2"/>
      <c r="D15" s="2"/>
      <c r="E15" s="2"/>
      <c r="F15" s="2"/>
    </row>
    <row r="16" spans="1:10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  <row r="31" spans="1:6" x14ac:dyDescent="0.25">
      <c r="A31" s="2"/>
      <c r="B31" s="2"/>
      <c r="C31" s="2"/>
      <c r="D31" s="2"/>
      <c r="E31" s="2"/>
      <c r="F31" s="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x14ac:dyDescent="0.25">
      <c r="A35" s="2"/>
      <c r="B35" s="2"/>
      <c r="C35" s="2"/>
      <c r="D35" s="2"/>
      <c r="E35" s="2"/>
      <c r="F35" s="2"/>
    </row>
    <row r="36" spans="1:6" x14ac:dyDescent="0.25">
      <c r="A36" s="2"/>
      <c r="B36" s="2"/>
      <c r="C36" s="2"/>
      <c r="D36" s="2"/>
      <c r="E36" s="2"/>
      <c r="F36" s="2"/>
    </row>
    <row r="37" spans="1:6" x14ac:dyDescent="0.25">
      <c r="A37" s="2"/>
      <c r="B37" s="2"/>
      <c r="C37" s="2"/>
      <c r="D37" s="2"/>
      <c r="E37" s="2"/>
      <c r="F37" s="2"/>
    </row>
    <row r="38" spans="1:6" x14ac:dyDescent="0.25">
      <c r="A38" s="2"/>
      <c r="B38" s="2"/>
      <c r="C38" s="2"/>
      <c r="D38" s="2"/>
      <c r="E38" s="2"/>
      <c r="F38" s="2"/>
    </row>
    <row r="39" spans="1:6" x14ac:dyDescent="0.25">
      <c r="A39" s="2"/>
      <c r="B39" s="2"/>
      <c r="C39" s="2"/>
      <c r="D39" s="2"/>
      <c r="E39" s="2"/>
      <c r="F39" s="2"/>
    </row>
    <row r="40" spans="1:6" x14ac:dyDescent="0.25">
      <c r="A40" s="2"/>
      <c r="B40" s="2"/>
      <c r="C40" s="2"/>
      <c r="D40" s="2"/>
      <c r="E40" s="2"/>
      <c r="F40" s="2"/>
    </row>
  </sheetData>
  <autoFilter ref="A1:F40" xr:uid="{DBC70A8E-7DB3-48CC-9A84-2DF3ECB855AE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970B-2D2E-4E72-98E0-645A8C542ED9}">
  <sheetPr>
    <tabColor theme="7" tint="0.59999389629810485"/>
  </sheetPr>
  <dimension ref="A1:G40"/>
  <sheetViews>
    <sheetView tabSelected="1" zoomScale="90" zoomScaleNormal="90" workbookViewId="0">
      <selection activeCell="D2" sqref="D2"/>
    </sheetView>
  </sheetViews>
  <sheetFormatPr defaultRowHeight="15" x14ac:dyDescent="0.25"/>
  <cols>
    <col min="1" max="1" width="8.5703125" bestFit="1" customWidth="1"/>
    <col min="2" max="2" width="12" bestFit="1" customWidth="1"/>
    <col min="3" max="3" width="16.140625" customWidth="1"/>
    <col min="4" max="4" width="22.42578125" customWidth="1"/>
    <col min="5" max="5" width="14.85546875" customWidth="1"/>
    <col min="6" max="6" width="27.42578125" customWidth="1"/>
    <col min="7" max="7" width="82" bestFit="1" customWidth="1"/>
  </cols>
  <sheetData>
    <row r="1" spans="1:7" x14ac:dyDescent="0.25">
      <c r="A1" s="3" t="s">
        <v>101</v>
      </c>
      <c r="B1" s="3" t="s">
        <v>91</v>
      </c>
      <c r="C1" s="3" t="s">
        <v>13</v>
      </c>
      <c r="D1" s="3" t="s">
        <v>0</v>
      </c>
      <c r="E1" s="3" t="s">
        <v>3</v>
      </c>
      <c r="F1" s="3" t="s">
        <v>4</v>
      </c>
      <c r="G1" s="3" t="s">
        <v>100</v>
      </c>
    </row>
    <row r="2" spans="1:7" x14ac:dyDescent="0.25">
      <c r="A2" s="2" t="s">
        <v>90</v>
      </c>
      <c r="B2" s="2" t="s">
        <v>92</v>
      </c>
      <c r="C2" s="2" t="s">
        <v>515</v>
      </c>
      <c r="D2" s="2" t="s">
        <v>518</v>
      </c>
      <c r="E2" s="2"/>
      <c r="F2" s="2" t="s">
        <v>264</v>
      </c>
      <c r="G2" s="2" t="str">
        <f>CONCATENATE($C$1,":",C2,";",$D$1,":",D2,";",$E$1,":",E2,";",$F$1,":",F2)</f>
        <v>tenant:JUICE;name:juicy_apps;nameAlias:;descr:Network-Centric application profile</v>
      </c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2"/>
      <c r="C24" s="2"/>
      <c r="D24" s="2"/>
      <c r="E24" s="2"/>
      <c r="F24" s="2"/>
      <c r="G24" s="2"/>
    </row>
    <row r="25" spans="1:7" x14ac:dyDescent="0.25">
      <c r="A25" s="2"/>
      <c r="B25" s="2"/>
      <c r="C25" s="2"/>
      <c r="D25" s="2"/>
      <c r="E25" s="2"/>
      <c r="F25" s="2"/>
      <c r="G25" s="2"/>
    </row>
    <row r="26" spans="1:7" x14ac:dyDescent="0.25">
      <c r="A26" s="2"/>
      <c r="B26" s="2"/>
      <c r="C26" s="2"/>
      <c r="D26" s="2"/>
      <c r="E26" s="2"/>
      <c r="F26" s="2"/>
      <c r="G26" s="2"/>
    </row>
    <row r="27" spans="1:7" x14ac:dyDescent="0.25">
      <c r="A27" s="2"/>
      <c r="B27" s="2"/>
      <c r="C27" s="2"/>
      <c r="D27" s="2"/>
      <c r="E27" s="2"/>
      <c r="F27" s="2"/>
      <c r="G27" s="2"/>
    </row>
    <row r="28" spans="1:7" x14ac:dyDescent="0.25">
      <c r="A28" s="2"/>
      <c r="B28" s="2"/>
      <c r="C28" s="2"/>
      <c r="D28" s="2"/>
      <c r="E28" s="2"/>
      <c r="F28" s="2"/>
      <c r="G28" s="2"/>
    </row>
    <row r="29" spans="1:7" x14ac:dyDescent="0.25">
      <c r="A29" s="2"/>
      <c r="B29" s="2"/>
      <c r="C29" s="2"/>
      <c r="D29" s="2"/>
      <c r="E29" s="2"/>
      <c r="F29" s="2"/>
      <c r="G29" s="2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2"/>
      <c r="B31" s="2"/>
      <c r="C31" s="2"/>
      <c r="D31" s="2"/>
      <c r="E31" s="2"/>
      <c r="F31" s="2"/>
      <c r="G31" s="2"/>
    </row>
    <row r="32" spans="1:7" x14ac:dyDescent="0.25">
      <c r="A32" s="2"/>
      <c r="B32" s="2"/>
      <c r="C32" s="2"/>
      <c r="D32" s="2"/>
      <c r="E32" s="2"/>
      <c r="F32" s="2"/>
      <c r="G32" s="2"/>
    </row>
    <row r="33" spans="1:7" x14ac:dyDescent="0.25">
      <c r="A33" s="2"/>
      <c r="B33" s="2"/>
      <c r="C33" s="2"/>
      <c r="D33" s="2"/>
      <c r="E33" s="2"/>
      <c r="F33" s="2"/>
      <c r="G33" s="2"/>
    </row>
    <row r="34" spans="1:7" x14ac:dyDescent="0.25">
      <c r="A34" s="2"/>
      <c r="B34" s="2"/>
      <c r="C34" s="2"/>
      <c r="D34" s="2"/>
      <c r="E34" s="2"/>
      <c r="F34" s="2"/>
      <c r="G34" s="2"/>
    </row>
    <row r="35" spans="1:7" x14ac:dyDescent="0.25">
      <c r="A35" s="2"/>
      <c r="B35" s="2"/>
      <c r="C35" s="2"/>
      <c r="D35" s="2"/>
      <c r="E35" s="2"/>
      <c r="F35" s="2"/>
      <c r="G35" s="2"/>
    </row>
    <row r="36" spans="1:7" x14ac:dyDescent="0.25">
      <c r="A36" s="2"/>
      <c r="B36" s="2"/>
      <c r="C36" s="2"/>
      <c r="D36" s="2"/>
      <c r="E36" s="2"/>
      <c r="F36" s="2"/>
      <c r="G36" s="2"/>
    </row>
    <row r="37" spans="1:7" x14ac:dyDescent="0.25">
      <c r="A37" s="2"/>
      <c r="B37" s="2"/>
      <c r="C37" s="2"/>
      <c r="D37" s="2"/>
      <c r="E37" s="2"/>
      <c r="F37" s="2"/>
      <c r="G37" s="2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2"/>
      <c r="B39" s="2"/>
      <c r="C39" s="2"/>
      <c r="D39" s="2"/>
      <c r="E39" s="2"/>
      <c r="F39" s="2"/>
      <c r="G39" s="2"/>
    </row>
    <row r="40" spans="1:7" x14ac:dyDescent="0.25">
      <c r="A40" s="2"/>
      <c r="B40" s="2"/>
      <c r="C40" s="2"/>
      <c r="D40" s="2"/>
      <c r="E40" s="2"/>
      <c r="F40" s="2"/>
      <c r="G40" s="2"/>
    </row>
  </sheetData>
  <autoFilter ref="A1:G40" xr:uid="{56BE347F-64B8-43C9-A10F-C3EF2E7AFB77}"/>
  <pageMargins left="0.7" right="0.7" top="0.75" bottom="0.75" header="0.3" footer="0.3"/>
  <pageSetup paperSize="9"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2EC95-75FA-49C5-AB81-9C02BD419032}">
  <sheetPr>
    <tabColor theme="7" tint="0.59999389629810485"/>
  </sheetPr>
  <dimension ref="A1:I36"/>
  <sheetViews>
    <sheetView zoomScale="85" zoomScaleNormal="85" workbookViewId="0">
      <selection activeCell="C11" sqref="C11"/>
    </sheetView>
  </sheetViews>
  <sheetFormatPr defaultRowHeight="15" x14ac:dyDescent="0.25"/>
  <cols>
    <col min="1" max="1" width="10.85546875" bestFit="1" customWidth="1"/>
    <col min="2" max="2" width="15.140625" bestFit="1" customWidth="1"/>
    <col min="3" max="3" width="22.85546875" bestFit="1" customWidth="1"/>
    <col min="4" max="4" width="15.28515625" customWidth="1"/>
    <col min="5" max="5" width="23.85546875" customWidth="1"/>
    <col min="6" max="6" width="23.28515625" customWidth="1"/>
    <col min="7" max="7" width="12.5703125" bestFit="1" customWidth="1"/>
    <col min="8" max="8" width="27.7109375" customWidth="1"/>
    <col min="9" max="9" width="50.28515625" customWidth="1"/>
  </cols>
  <sheetData>
    <row r="1" spans="1:9" x14ac:dyDescent="0.25">
      <c r="A1" s="3" t="s">
        <v>101</v>
      </c>
      <c r="B1" s="3" t="s">
        <v>91</v>
      </c>
      <c r="C1" s="3" t="s">
        <v>265</v>
      </c>
      <c r="D1" s="3" t="s">
        <v>266</v>
      </c>
      <c r="E1" s="3" t="s">
        <v>267</v>
      </c>
      <c r="F1" s="3" t="s">
        <v>0</v>
      </c>
      <c r="G1" s="3" t="s">
        <v>3</v>
      </c>
      <c r="H1" s="3" t="s">
        <v>4</v>
      </c>
      <c r="I1" s="3" t="s">
        <v>100</v>
      </c>
    </row>
    <row r="2" spans="1:9" x14ac:dyDescent="0.25">
      <c r="A2" s="2" t="s">
        <v>268</v>
      </c>
      <c r="B2" s="2" t="s">
        <v>269</v>
      </c>
      <c r="C2" s="2" t="s">
        <v>270</v>
      </c>
      <c r="D2" s="2" t="s">
        <v>271</v>
      </c>
      <c r="E2" s="2" t="s">
        <v>517</v>
      </c>
      <c r="F2" s="2" t="s">
        <v>97</v>
      </c>
      <c r="G2" s="2"/>
      <c r="H2" s="2"/>
      <c r="I2" s="2" t="str">
        <f>CONCATENATE($A$1,":",A2,";",$B$1,":",B2,";",$C$1,":",C2,";",$D$1,":",D2,";",$E$1,":",E2,";",$F$1,":",F2,";",$G$1,":",G2,";",$H$1,":",H2,)</f>
        <v>category:global;subCategory:physicalDomain;poolName:core_static_vl;poolType:static;securityDomain:juice_secDom;name:core_phyDom;nameAlias:;descr:</v>
      </c>
    </row>
    <row r="3" spans="1:9" x14ac:dyDescent="0.25">
      <c r="A3" s="2" t="s">
        <v>268</v>
      </c>
      <c r="B3" s="2" t="s">
        <v>272</v>
      </c>
      <c r="C3" s="2" t="s">
        <v>505</v>
      </c>
      <c r="D3" s="2" t="s">
        <v>271</v>
      </c>
      <c r="E3" s="2" t="s">
        <v>517</v>
      </c>
      <c r="F3" s="2" t="s">
        <v>500</v>
      </c>
      <c r="G3" s="2"/>
      <c r="H3" s="2"/>
      <c r="I3" s="2" t="str">
        <f>CONCATENATE($A$1,":",A3,";",$B$1,":",B3,";",$C$1,":",C3,";",$D$1,":",D3,";",$E$1,":",E3,";",$F$1,":",F3,";",$G$1,":",G3,";",$H$1,":",H3,)</f>
        <v>category:global;subCategory:routedDomain;poolName:ipn_static_vl;poolType:static;securityDomain:juice_secDom;name:multipod_phyDom;nameAlias:;descr:</v>
      </c>
    </row>
    <row r="4" spans="1:9" x14ac:dyDescent="0.25">
      <c r="A4" s="2" t="s">
        <v>268</v>
      </c>
      <c r="B4" s="2" t="s">
        <v>272</v>
      </c>
      <c r="C4" s="2" t="s">
        <v>506</v>
      </c>
      <c r="D4" s="2" t="s">
        <v>271</v>
      </c>
      <c r="E4" s="2" t="s">
        <v>517</v>
      </c>
      <c r="F4" s="2" t="s">
        <v>485</v>
      </c>
      <c r="G4" s="2"/>
      <c r="H4" s="2"/>
      <c r="I4" s="2" t="str">
        <f t="shared" ref="I4:I11" si="0">CONCATENATE($A$1,":",A4,";",$B$1,":",B4,";",$C$1,":",C4,";",$D$1,":",D4,";",$E$1,":",E4,";",$F$1,":",F4,";",$G$1,":",G4,";",$H$1,":",H4,)</f>
        <v>category:global;subCategory:routedDomain;poolName:l3out_core_pod01_vl;poolType:static;securityDomain:juice_secDom;name:core_pod1_extDom;nameAlias:;descr:</v>
      </c>
    </row>
    <row r="5" spans="1:9" x14ac:dyDescent="0.25">
      <c r="A5" s="2" t="s">
        <v>268</v>
      </c>
      <c r="B5" s="2" t="s">
        <v>272</v>
      </c>
      <c r="C5" s="2" t="s">
        <v>507</v>
      </c>
      <c r="D5" s="2" t="s">
        <v>271</v>
      </c>
      <c r="E5" s="2" t="s">
        <v>517</v>
      </c>
      <c r="F5" s="2" t="s">
        <v>486</v>
      </c>
      <c r="G5" s="2"/>
      <c r="H5" s="2"/>
      <c r="I5" s="2" t="str">
        <f t="shared" si="0"/>
        <v>category:global;subCategory:routedDomain;poolName:l3out_core_pod02_vl;poolType:static;securityDomain:juice_secDom;name:core_pod2_extDom;nameAlias:;descr:</v>
      </c>
    </row>
    <row r="6" spans="1:9" x14ac:dyDescent="0.25">
      <c r="A6" s="2" t="s">
        <v>268</v>
      </c>
      <c r="B6" s="2" t="s">
        <v>272</v>
      </c>
      <c r="C6" s="2" t="s">
        <v>508</v>
      </c>
      <c r="D6" s="2" t="s">
        <v>271</v>
      </c>
      <c r="E6" s="2" t="s">
        <v>517</v>
      </c>
      <c r="F6" s="2" t="s">
        <v>487</v>
      </c>
      <c r="G6" s="2"/>
      <c r="H6" s="2"/>
      <c r="I6" s="2" t="str">
        <f t="shared" si="0"/>
        <v>category:global;subCategory:routedDomain;poolName:l3out_utility_pod01_vl;poolType:static;securityDomain:juice_secDom;name:utility_pod1_extDom;nameAlias:;descr:</v>
      </c>
    </row>
    <row r="7" spans="1:9" x14ac:dyDescent="0.25">
      <c r="A7" s="2" t="s">
        <v>268</v>
      </c>
      <c r="B7" s="2" t="s">
        <v>272</v>
      </c>
      <c r="C7" s="2" t="s">
        <v>509</v>
      </c>
      <c r="D7" s="2" t="s">
        <v>271</v>
      </c>
      <c r="E7" s="2" t="s">
        <v>517</v>
      </c>
      <c r="F7" s="2" t="s">
        <v>488</v>
      </c>
      <c r="G7" s="2"/>
      <c r="H7" s="2"/>
      <c r="I7" s="2" t="str">
        <f t="shared" si="0"/>
        <v>category:global;subCategory:routedDomain;poolName:l3out_utility_pod02_vl;poolType:static;securityDomain:juice_secDom;name:utility_pod2_extDom;nameAlias:;descr:</v>
      </c>
    </row>
    <row r="8" spans="1:9" x14ac:dyDescent="0.25">
      <c r="A8" s="2" t="s">
        <v>268</v>
      </c>
      <c r="B8" s="2" t="s">
        <v>272</v>
      </c>
      <c r="C8" s="2" t="s">
        <v>510</v>
      </c>
      <c r="D8" s="2" t="s">
        <v>271</v>
      </c>
      <c r="E8" s="2" t="s">
        <v>517</v>
      </c>
      <c r="F8" s="2" t="s">
        <v>501</v>
      </c>
      <c r="G8" s="2"/>
      <c r="H8" s="2"/>
      <c r="I8" s="2" t="str">
        <f t="shared" si="0"/>
        <v>category:global;subCategory:routedDomain;poolName:l3out_palo_pod01_01_vl;poolType:static;securityDomain:juice_secDom;name:palo_pod1_extDom;nameAlias:;descr:</v>
      </c>
    </row>
    <row r="9" spans="1:9" x14ac:dyDescent="0.25">
      <c r="A9" s="2" t="s">
        <v>268</v>
      </c>
      <c r="B9" s="2" t="s">
        <v>272</v>
      </c>
      <c r="C9" s="2" t="s">
        <v>511</v>
      </c>
      <c r="D9" s="2" t="s">
        <v>271</v>
      </c>
      <c r="E9" s="2" t="s">
        <v>517</v>
      </c>
      <c r="F9" s="2" t="s">
        <v>502</v>
      </c>
      <c r="G9" s="2"/>
      <c r="H9" s="2"/>
      <c r="I9" s="2" t="str">
        <f t="shared" si="0"/>
        <v>category:global;subCategory:routedDomain;poolName:l3out_palo_pod01_02_vl;poolType:static;securityDomain:juice_secDom;name:palo_pod2_extDom;nameAlias:;descr:</v>
      </c>
    </row>
    <row r="10" spans="1:9" x14ac:dyDescent="0.25">
      <c r="A10" s="2" t="s">
        <v>268</v>
      </c>
      <c r="B10" s="2" t="s">
        <v>272</v>
      </c>
      <c r="C10" s="2" t="s">
        <v>512</v>
      </c>
      <c r="D10" s="2" t="s">
        <v>271</v>
      </c>
      <c r="E10" s="2" t="s">
        <v>517</v>
      </c>
      <c r="F10" s="2" t="s">
        <v>503</v>
      </c>
      <c r="G10" s="2"/>
      <c r="H10" s="2"/>
      <c r="I10" s="2" t="str">
        <f t="shared" si="0"/>
        <v>category:global;subCategory:routedDomain;poolName:l3out_perim_pod01_vl;poolType:static;securityDomain:juice_secDom;name:perim_pod1_extDom;nameAlias:;descr:</v>
      </c>
    </row>
    <row r="11" spans="1:9" x14ac:dyDescent="0.25">
      <c r="A11" s="2" t="s">
        <v>268</v>
      </c>
      <c r="B11" s="2" t="s">
        <v>272</v>
      </c>
      <c r="C11" s="2" t="s">
        <v>513</v>
      </c>
      <c r="D11" s="2" t="s">
        <v>271</v>
      </c>
      <c r="E11" s="2" t="s">
        <v>517</v>
      </c>
      <c r="F11" s="2" t="s">
        <v>504</v>
      </c>
      <c r="G11" s="2"/>
      <c r="H11" s="2"/>
      <c r="I11" s="2" t="str">
        <f t="shared" si="0"/>
        <v>category:global;subCategory:routedDomain;poolName:l3out_perim_pod02_vl;poolType:static;securityDomain:juice_secDom;name:perim_pod2_extDom;nameAlias:;descr:</v>
      </c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5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5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5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</sheetData>
  <autoFilter ref="A1:I36" xr:uid="{2A708777-108D-4CD4-B8C1-B34D29D79C1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17405-DC06-4A82-84BD-F54088F0F098}">
  <sheetPr>
    <tabColor theme="9" tint="0.59999389629810485"/>
  </sheetPr>
  <dimension ref="A1:Y66"/>
  <sheetViews>
    <sheetView zoomScale="85" zoomScaleNormal="85" workbookViewId="0">
      <selection activeCell="C31" sqref="C31"/>
    </sheetView>
  </sheetViews>
  <sheetFormatPr defaultRowHeight="15" x14ac:dyDescent="0.25"/>
  <cols>
    <col min="1" max="1" width="11.28515625" bestFit="1" customWidth="1"/>
    <col min="2" max="2" width="14.28515625" bestFit="1" customWidth="1"/>
    <col min="3" max="3" width="19" bestFit="1" customWidth="1"/>
    <col min="4" max="4" width="15" customWidth="1"/>
    <col min="5" max="5" width="18" customWidth="1"/>
    <col min="6" max="6" width="17.42578125" bestFit="1" customWidth="1"/>
    <col min="7" max="7" width="13.42578125" bestFit="1" customWidth="1"/>
    <col min="8" max="8" width="12.5703125" bestFit="1" customWidth="1"/>
    <col min="9" max="9" width="31.28515625" customWidth="1"/>
    <col min="10" max="10" width="12.5703125" customWidth="1"/>
    <col min="11" max="11" width="11.28515625" bestFit="1" customWidth="1"/>
    <col min="12" max="12" width="17.85546875" customWidth="1"/>
    <col min="13" max="13" width="16.7109375" bestFit="1" customWidth="1"/>
    <col min="14" max="14" width="13" customWidth="1"/>
    <col min="15" max="15" width="16.5703125" customWidth="1"/>
    <col min="16" max="16" width="18.42578125" bestFit="1" customWidth="1"/>
    <col min="17" max="17" width="21" customWidth="1"/>
    <col min="18" max="18" width="22.28515625" bestFit="1" customWidth="1"/>
    <col min="19" max="19" width="88.28515625" customWidth="1"/>
    <col min="20" max="20" width="17.42578125" bestFit="1" customWidth="1"/>
    <col min="21" max="21" width="15.28515625" bestFit="1" customWidth="1"/>
    <col min="22" max="22" width="14.28515625" bestFit="1" customWidth="1"/>
    <col min="23" max="23" width="32" bestFit="1" customWidth="1"/>
    <col min="24" max="24" width="26" bestFit="1" customWidth="1"/>
    <col min="25" max="25" width="19.85546875" bestFit="1" customWidth="1"/>
  </cols>
  <sheetData>
    <row r="1" spans="1:25" x14ac:dyDescent="0.25">
      <c r="A1" s="3" t="s">
        <v>101</v>
      </c>
      <c r="B1" s="3" t="s">
        <v>91</v>
      </c>
      <c r="C1" s="3" t="s">
        <v>93</v>
      </c>
      <c r="D1" s="3" t="s">
        <v>83</v>
      </c>
      <c r="E1" s="3" t="s">
        <v>94</v>
      </c>
      <c r="F1" s="3" t="s">
        <v>95</v>
      </c>
      <c r="G1" s="3" t="s">
        <v>0</v>
      </c>
      <c r="H1" s="3" t="s">
        <v>3</v>
      </c>
      <c r="I1" s="3" t="s">
        <v>4</v>
      </c>
      <c r="J1" s="3" t="s">
        <v>73</v>
      </c>
      <c r="K1" s="3" t="s">
        <v>74</v>
      </c>
      <c r="L1" s="3" t="s">
        <v>76</v>
      </c>
      <c r="M1" s="3" t="s">
        <v>77</v>
      </c>
      <c r="N1" s="3" t="s">
        <v>78</v>
      </c>
      <c r="O1" s="3" t="s">
        <v>18</v>
      </c>
      <c r="P1" s="3" t="s">
        <v>79</v>
      </c>
      <c r="Q1" s="3" t="s">
        <v>81</v>
      </c>
      <c r="R1" s="3" t="s">
        <v>83</v>
      </c>
      <c r="S1" s="3" t="s">
        <v>100</v>
      </c>
      <c r="T1" s="1"/>
      <c r="U1" s="1"/>
      <c r="V1" s="1"/>
      <c r="W1" s="1"/>
      <c r="X1" s="1"/>
      <c r="Y1" s="1"/>
    </row>
    <row r="2" spans="1:25" x14ac:dyDescent="0.25">
      <c r="A2" s="2" t="s">
        <v>90</v>
      </c>
      <c r="B2" s="2" t="s">
        <v>92</v>
      </c>
      <c r="C2" s="2" t="s">
        <v>518</v>
      </c>
      <c r="D2" s="2" t="s">
        <v>97</v>
      </c>
      <c r="E2" s="2" t="s">
        <v>130</v>
      </c>
      <c r="F2" s="2" t="s">
        <v>130</v>
      </c>
      <c r="G2" s="2" t="s">
        <v>131</v>
      </c>
      <c r="H2" s="2"/>
      <c r="I2" s="2"/>
      <c r="J2" s="2" t="s">
        <v>12</v>
      </c>
      <c r="K2" s="2" t="s">
        <v>75</v>
      </c>
      <c r="L2" s="2" t="s">
        <v>20</v>
      </c>
      <c r="M2" s="2" t="s">
        <v>20</v>
      </c>
      <c r="N2" s="2" t="s">
        <v>82</v>
      </c>
      <c r="O2" s="2" t="s">
        <v>10</v>
      </c>
      <c r="P2" s="2" t="s">
        <v>80</v>
      </c>
      <c r="Q2" s="2" t="s">
        <v>20</v>
      </c>
      <c r="R2" s="2"/>
      <c r="S2" s="2" t="str">
        <f>CONCATENATE($A$1,":",A2,";",$B$1,":",B2,";",$C$1,":",C2,";",$D$1,":",D2,";",$E$1,":",E2,";",$F$1,":",F2,";",$G$1,":",G2,";",$H$1,":",H2,";",$I$1,":",I2,";",$J$1,":",J2,";",$K$1,":",K2,";",$L$1,":",L2,";",$M$1,":",M2,";",$N$1,":",N2,";",$O$1,":",O2,";",$P$1,":",P2,";",$Q$1,":",Q2,";",$R$1,":",R2)</f>
        <v>category:network;subCategory:epg;application-profile:juicy_apps;domain:core_phyDom;contractConsume:any_con;contractProvide:any_con;name:vlan401_epg;nameAlias:;descr:;floodOnEncap:enabled;fwdCtrl:proxy-arp;hasMcastSource:no;isAttrBasedEPg:no;matchT:AtleastOne;pcEnfPref:enforced;prefGrMemb:include;shutdown:no;domain:</v>
      </c>
    </row>
    <row r="3" spans="1:25" x14ac:dyDescent="0.25">
      <c r="A3" s="2" t="s">
        <v>90</v>
      </c>
      <c r="B3" s="2" t="s">
        <v>92</v>
      </c>
      <c r="C3" s="2" t="s">
        <v>518</v>
      </c>
      <c r="D3" s="2" t="s">
        <v>97</v>
      </c>
      <c r="E3" s="2" t="s">
        <v>130</v>
      </c>
      <c r="F3" s="2" t="s">
        <v>130</v>
      </c>
      <c r="G3" s="2" t="s">
        <v>132</v>
      </c>
      <c r="H3" s="2"/>
      <c r="I3" s="2"/>
      <c r="J3" s="2" t="s">
        <v>12</v>
      </c>
      <c r="K3" s="2" t="s">
        <v>75</v>
      </c>
      <c r="L3" s="2" t="s">
        <v>20</v>
      </c>
      <c r="M3" s="2" t="s">
        <v>20</v>
      </c>
      <c r="N3" s="2" t="s">
        <v>82</v>
      </c>
      <c r="O3" s="2" t="s">
        <v>10</v>
      </c>
      <c r="P3" s="2" t="s">
        <v>80</v>
      </c>
      <c r="Q3" s="2" t="s">
        <v>20</v>
      </c>
      <c r="R3" s="2"/>
      <c r="S3" s="2" t="str">
        <f t="shared" ref="S3:S66" si="0">CONCATENATE($A$1,":",A3,";",$B$1,":",B3,";",$C$1,":",C3,";",$D$1,":",D3,";",$E$1,":",E3,";",$F$1,":",F3,";",$G$1,":",G3,";",$H$1,":",H3,";",$I$1,":",I3,";",$J$1,":",J3,";",$K$1,":",K3,";",$L$1,":",L3,";",$M$1,":",M3,";",$N$1,":",N3,";",$O$1,":",O3,";",$P$1,":",P3,";",$Q$1,":",Q3,";",$R$1,":",R3)</f>
        <v>category:network;subCategory:epg;application-profile:juicy_apps;domain:core_phyDom;contractConsume:any_con;contractProvide:any_con;name:vlan402_epg;nameAlias:;descr:;floodOnEncap:enabled;fwdCtrl:proxy-arp;hasMcastSource:no;isAttrBasedEPg:no;matchT:AtleastOne;pcEnfPref:enforced;prefGrMemb:include;shutdown:no;domain:</v>
      </c>
    </row>
    <row r="4" spans="1:25" x14ac:dyDescent="0.25">
      <c r="A4" s="2" t="s">
        <v>90</v>
      </c>
      <c r="B4" s="2" t="s">
        <v>92</v>
      </c>
      <c r="C4" s="2" t="s">
        <v>518</v>
      </c>
      <c r="D4" s="2" t="s">
        <v>97</v>
      </c>
      <c r="E4" s="2" t="s">
        <v>130</v>
      </c>
      <c r="F4" s="2" t="s">
        <v>130</v>
      </c>
      <c r="G4" s="2" t="s">
        <v>102</v>
      </c>
      <c r="H4" s="2"/>
      <c r="I4" s="2"/>
      <c r="J4" s="2" t="s">
        <v>12</v>
      </c>
      <c r="K4" s="2" t="s">
        <v>75</v>
      </c>
      <c r="L4" s="2" t="s">
        <v>20</v>
      </c>
      <c r="M4" s="2" t="s">
        <v>20</v>
      </c>
      <c r="N4" s="2" t="s">
        <v>82</v>
      </c>
      <c r="O4" s="2" t="s">
        <v>10</v>
      </c>
      <c r="P4" s="2" t="s">
        <v>80</v>
      </c>
      <c r="Q4" s="2" t="s">
        <v>20</v>
      </c>
      <c r="R4" s="2"/>
      <c r="S4" s="2" t="str">
        <f t="shared" si="0"/>
        <v>category:network;subCategory:epg;application-profile:juicy_apps;domain:core_phyDom;contractConsume:any_con;contractProvide:any_con;name:vlan403_epg;nameAlias:;descr:;floodOnEncap:enabled;fwdCtrl:proxy-arp;hasMcastSource:no;isAttrBasedEPg:no;matchT:AtleastOne;pcEnfPref:enforced;prefGrMemb:include;shutdown:no;domain:</v>
      </c>
    </row>
    <row r="5" spans="1:25" x14ac:dyDescent="0.25">
      <c r="A5" s="2" t="s">
        <v>90</v>
      </c>
      <c r="B5" s="2" t="s">
        <v>92</v>
      </c>
      <c r="C5" s="2" t="s">
        <v>518</v>
      </c>
      <c r="D5" s="2" t="s">
        <v>97</v>
      </c>
      <c r="E5" s="2" t="s">
        <v>130</v>
      </c>
      <c r="F5" s="2" t="s">
        <v>130</v>
      </c>
      <c r="G5" s="2" t="s">
        <v>105</v>
      </c>
      <c r="H5" s="2"/>
      <c r="I5" s="2"/>
      <c r="J5" s="2" t="s">
        <v>12</v>
      </c>
      <c r="K5" s="2" t="s">
        <v>75</v>
      </c>
      <c r="L5" s="2" t="s">
        <v>20</v>
      </c>
      <c r="M5" s="2" t="s">
        <v>20</v>
      </c>
      <c r="N5" s="2" t="s">
        <v>82</v>
      </c>
      <c r="O5" s="2" t="s">
        <v>10</v>
      </c>
      <c r="P5" s="2" t="s">
        <v>80</v>
      </c>
      <c r="Q5" s="2" t="s">
        <v>20</v>
      </c>
      <c r="R5" s="2"/>
      <c r="S5" s="2" t="str">
        <f t="shared" si="0"/>
        <v>category:network;subCategory:epg;application-profile:juicy_apps;domain:core_phyDom;contractConsume:any_con;contractProvide:any_con;name:vlan404_epg;nameAlias:;descr:;floodOnEncap:enabled;fwdCtrl:proxy-arp;hasMcastSource:no;isAttrBasedEPg:no;matchT:AtleastOne;pcEnfPref:enforced;prefGrMemb:include;shutdown:no;domain:</v>
      </c>
    </row>
    <row r="6" spans="1:25" x14ac:dyDescent="0.25">
      <c r="A6" s="2" t="s">
        <v>90</v>
      </c>
      <c r="B6" s="2" t="s">
        <v>92</v>
      </c>
      <c r="C6" s="2" t="s">
        <v>518</v>
      </c>
      <c r="D6" s="2" t="s">
        <v>97</v>
      </c>
      <c r="E6" s="2" t="s">
        <v>130</v>
      </c>
      <c r="F6" s="2" t="s">
        <v>130</v>
      </c>
      <c r="G6" s="2" t="s">
        <v>106</v>
      </c>
      <c r="H6" s="2"/>
      <c r="I6" s="2"/>
      <c r="J6" s="2" t="s">
        <v>12</v>
      </c>
      <c r="K6" s="2" t="s">
        <v>75</v>
      </c>
      <c r="L6" s="2" t="s">
        <v>20</v>
      </c>
      <c r="M6" s="2" t="s">
        <v>20</v>
      </c>
      <c r="N6" s="2" t="s">
        <v>82</v>
      </c>
      <c r="O6" s="2" t="s">
        <v>10</v>
      </c>
      <c r="P6" s="2" t="s">
        <v>80</v>
      </c>
      <c r="Q6" s="2" t="s">
        <v>20</v>
      </c>
      <c r="R6" s="2"/>
      <c r="S6" s="2" t="str">
        <f t="shared" si="0"/>
        <v>category:network;subCategory:epg;application-profile:juicy_apps;domain:core_phyDom;contractConsume:any_con;contractProvide:any_con;name:vlan405_epg;nameAlias:;descr:;floodOnEncap:enabled;fwdCtrl:proxy-arp;hasMcastSource:no;isAttrBasedEPg:no;matchT:AtleastOne;pcEnfPref:enforced;prefGrMemb:include;shutdown:no;domain:</v>
      </c>
    </row>
    <row r="7" spans="1:25" x14ac:dyDescent="0.25">
      <c r="A7" s="2" t="s">
        <v>90</v>
      </c>
      <c r="B7" s="2" t="s">
        <v>92</v>
      </c>
      <c r="C7" s="2" t="s">
        <v>518</v>
      </c>
      <c r="D7" s="2" t="s">
        <v>97</v>
      </c>
      <c r="E7" s="2" t="s">
        <v>130</v>
      </c>
      <c r="F7" s="2" t="s">
        <v>130</v>
      </c>
      <c r="G7" s="2" t="s">
        <v>133</v>
      </c>
      <c r="H7" s="2"/>
      <c r="I7" s="2"/>
      <c r="J7" s="2" t="s">
        <v>12</v>
      </c>
      <c r="K7" s="2" t="s">
        <v>75</v>
      </c>
      <c r="L7" s="2" t="s">
        <v>20</v>
      </c>
      <c r="M7" s="2" t="s">
        <v>20</v>
      </c>
      <c r="N7" s="2" t="s">
        <v>82</v>
      </c>
      <c r="O7" s="2" t="s">
        <v>10</v>
      </c>
      <c r="P7" s="2" t="s">
        <v>80</v>
      </c>
      <c r="Q7" s="2" t="s">
        <v>20</v>
      </c>
      <c r="R7" s="2"/>
      <c r="S7" s="2" t="str">
        <f t="shared" si="0"/>
        <v>category:network;subCategory:epg;application-profile:juicy_apps;domain:core_phyDom;contractConsume:any_con;contractProvide:any_con;name:vlan406_epg;nameAlias:;descr:;floodOnEncap:enabled;fwdCtrl:proxy-arp;hasMcastSource:no;isAttrBasedEPg:no;matchT:AtleastOne;pcEnfPref:enforced;prefGrMemb:include;shutdown:no;domain:</v>
      </c>
    </row>
    <row r="8" spans="1:25" x14ac:dyDescent="0.25">
      <c r="A8" s="2" t="s">
        <v>90</v>
      </c>
      <c r="B8" s="2" t="s">
        <v>92</v>
      </c>
      <c r="C8" s="2" t="s">
        <v>518</v>
      </c>
      <c r="D8" s="2" t="s">
        <v>97</v>
      </c>
      <c r="E8" s="2" t="s">
        <v>130</v>
      </c>
      <c r="F8" s="2" t="s">
        <v>130</v>
      </c>
      <c r="G8" s="2" t="s">
        <v>134</v>
      </c>
      <c r="H8" s="2"/>
      <c r="I8" s="2"/>
      <c r="J8" s="2" t="s">
        <v>12</v>
      </c>
      <c r="K8" s="2" t="s">
        <v>75</v>
      </c>
      <c r="L8" s="2" t="s">
        <v>20</v>
      </c>
      <c r="M8" s="2" t="s">
        <v>20</v>
      </c>
      <c r="N8" s="2" t="s">
        <v>82</v>
      </c>
      <c r="O8" s="2" t="s">
        <v>10</v>
      </c>
      <c r="P8" s="2" t="s">
        <v>80</v>
      </c>
      <c r="Q8" s="2" t="s">
        <v>20</v>
      </c>
      <c r="R8" s="2"/>
      <c r="S8" s="2" t="str">
        <f t="shared" si="0"/>
        <v>category:network;subCategory:epg;application-profile:juicy_apps;domain:core_phyDom;contractConsume:any_con;contractProvide:any_con;name:vlan407_epg;nameAlias:;descr:;floodOnEncap:enabled;fwdCtrl:proxy-arp;hasMcastSource:no;isAttrBasedEPg:no;matchT:AtleastOne;pcEnfPref:enforced;prefGrMemb:include;shutdown:no;domain:</v>
      </c>
    </row>
    <row r="9" spans="1:25" x14ac:dyDescent="0.25">
      <c r="A9" s="2" t="s">
        <v>90</v>
      </c>
      <c r="B9" s="2" t="s">
        <v>92</v>
      </c>
      <c r="C9" s="2" t="s">
        <v>518</v>
      </c>
      <c r="D9" s="2" t="s">
        <v>97</v>
      </c>
      <c r="E9" s="2" t="s">
        <v>130</v>
      </c>
      <c r="F9" s="2" t="s">
        <v>130</v>
      </c>
      <c r="G9" s="2" t="s">
        <v>135</v>
      </c>
      <c r="H9" s="2"/>
      <c r="I9" s="2"/>
      <c r="J9" s="2" t="s">
        <v>12</v>
      </c>
      <c r="K9" s="2" t="s">
        <v>75</v>
      </c>
      <c r="L9" s="2" t="s">
        <v>20</v>
      </c>
      <c r="M9" s="2" t="s">
        <v>20</v>
      </c>
      <c r="N9" s="2" t="s">
        <v>82</v>
      </c>
      <c r="O9" s="2" t="s">
        <v>10</v>
      </c>
      <c r="P9" s="2" t="s">
        <v>80</v>
      </c>
      <c r="Q9" s="2" t="s">
        <v>20</v>
      </c>
      <c r="R9" s="2"/>
      <c r="S9" s="2" t="str">
        <f t="shared" si="0"/>
        <v>category:network;subCategory:epg;application-profile:juicy_apps;domain:core_phyDom;contractConsume:any_con;contractProvide:any_con;name:vlan408_epg;nameAlias:;descr:;floodOnEncap:enabled;fwdCtrl:proxy-arp;hasMcastSource:no;isAttrBasedEPg:no;matchT:AtleastOne;pcEnfPref:enforced;prefGrMemb:include;shutdown:no;domain:</v>
      </c>
    </row>
    <row r="10" spans="1:25" x14ac:dyDescent="0.25">
      <c r="A10" s="2" t="s">
        <v>90</v>
      </c>
      <c r="B10" s="2" t="s">
        <v>92</v>
      </c>
      <c r="C10" s="2" t="s">
        <v>518</v>
      </c>
      <c r="D10" s="2" t="s">
        <v>97</v>
      </c>
      <c r="E10" s="2" t="s">
        <v>130</v>
      </c>
      <c r="F10" s="2" t="s">
        <v>130</v>
      </c>
      <c r="G10" s="2" t="s">
        <v>136</v>
      </c>
      <c r="H10" s="2"/>
      <c r="I10" s="2"/>
      <c r="J10" s="2" t="s">
        <v>12</v>
      </c>
      <c r="K10" s="2" t="s">
        <v>75</v>
      </c>
      <c r="L10" s="2" t="s">
        <v>20</v>
      </c>
      <c r="M10" s="2" t="s">
        <v>20</v>
      </c>
      <c r="N10" s="2" t="s">
        <v>82</v>
      </c>
      <c r="O10" s="2" t="s">
        <v>10</v>
      </c>
      <c r="P10" s="2" t="s">
        <v>80</v>
      </c>
      <c r="Q10" s="2" t="s">
        <v>20</v>
      </c>
      <c r="R10" s="2"/>
      <c r="S10" s="2" t="str">
        <f t="shared" si="0"/>
        <v>category:network;subCategory:epg;application-profile:juicy_apps;domain:core_phyDom;contractConsume:any_con;contractProvide:any_con;name:vlan409_epg;nameAlias:;descr:;floodOnEncap:enabled;fwdCtrl:proxy-arp;hasMcastSource:no;isAttrBasedEPg:no;matchT:AtleastOne;pcEnfPref:enforced;prefGrMemb:include;shutdown:no;domain:</v>
      </c>
    </row>
    <row r="11" spans="1:25" x14ac:dyDescent="0.25">
      <c r="A11" s="2" t="s">
        <v>90</v>
      </c>
      <c r="B11" s="2" t="s">
        <v>92</v>
      </c>
      <c r="C11" s="2" t="s">
        <v>518</v>
      </c>
      <c r="D11" s="2" t="s">
        <v>97</v>
      </c>
      <c r="E11" s="2" t="s">
        <v>130</v>
      </c>
      <c r="F11" s="2" t="s">
        <v>130</v>
      </c>
      <c r="G11" s="2" t="s">
        <v>137</v>
      </c>
      <c r="H11" s="2"/>
      <c r="I11" s="2"/>
      <c r="J11" s="2" t="s">
        <v>12</v>
      </c>
      <c r="K11" s="2" t="s">
        <v>75</v>
      </c>
      <c r="L11" s="2" t="s">
        <v>20</v>
      </c>
      <c r="M11" s="2" t="s">
        <v>20</v>
      </c>
      <c r="N11" s="2" t="s">
        <v>82</v>
      </c>
      <c r="O11" s="2" t="s">
        <v>10</v>
      </c>
      <c r="P11" s="2" t="s">
        <v>80</v>
      </c>
      <c r="Q11" s="2" t="s">
        <v>20</v>
      </c>
      <c r="R11" s="2"/>
      <c r="S11" s="2" t="str">
        <f t="shared" si="0"/>
        <v>category:network;subCategory:epg;application-profile:juicy_apps;domain:core_phyDom;contractConsume:any_con;contractProvide:any_con;name:vlan410_epg;nameAlias:;descr:;floodOnEncap:enabled;fwdCtrl:proxy-arp;hasMcastSource:no;isAttrBasedEPg:no;matchT:AtleastOne;pcEnfPref:enforced;prefGrMemb:include;shutdown:no;domain:</v>
      </c>
    </row>
    <row r="12" spans="1:25" x14ac:dyDescent="0.25">
      <c r="A12" s="2" t="s">
        <v>90</v>
      </c>
      <c r="B12" s="2" t="s">
        <v>92</v>
      </c>
      <c r="C12" s="2" t="s">
        <v>518</v>
      </c>
      <c r="D12" s="2" t="s">
        <v>97</v>
      </c>
      <c r="E12" s="2" t="s">
        <v>130</v>
      </c>
      <c r="F12" s="2" t="s">
        <v>130</v>
      </c>
      <c r="G12" s="2" t="s">
        <v>138</v>
      </c>
      <c r="H12" s="2"/>
      <c r="I12" s="2"/>
      <c r="J12" s="2" t="s">
        <v>12</v>
      </c>
      <c r="K12" s="2" t="s">
        <v>75</v>
      </c>
      <c r="L12" s="2" t="s">
        <v>20</v>
      </c>
      <c r="M12" s="2" t="s">
        <v>20</v>
      </c>
      <c r="N12" s="2" t="s">
        <v>82</v>
      </c>
      <c r="O12" s="2" t="s">
        <v>10</v>
      </c>
      <c r="P12" s="2" t="s">
        <v>80</v>
      </c>
      <c r="Q12" s="2" t="s">
        <v>20</v>
      </c>
      <c r="R12" s="2"/>
      <c r="S12" s="2" t="str">
        <f t="shared" si="0"/>
        <v>category:network;subCategory:epg;application-profile:juicy_apps;domain:core_phyDom;contractConsume:any_con;contractProvide:any_con;name:vlan411_epg;nameAlias:;descr:;floodOnEncap:enabled;fwdCtrl:proxy-arp;hasMcastSource:no;isAttrBasedEPg:no;matchT:AtleastOne;pcEnfPref:enforced;prefGrMemb:include;shutdown:no;domain:</v>
      </c>
    </row>
    <row r="13" spans="1:25" x14ac:dyDescent="0.25">
      <c r="A13" s="2" t="s">
        <v>90</v>
      </c>
      <c r="B13" s="2" t="s">
        <v>92</v>
      </c>
      <c r="C13" s="2" t="s">
        <v>518</v>
      </c>
      <c r="D13" s="2" t="s">
        <v>97</v>
      </c>
      <c r="E13" s="2" t="s">
        <v>130</v>
      </c>
      <c r="F13" s="2" t="s">
        <v>130</v>
      </c>
      <c r="G13" s="2" t="s">
        <v>139</v>
      </c>
      <c r="H13" s="2"/>
      <c r="I13" s="2"/>
      <c r="J13" s="2" t="s">
        <v>12</v>
      </c>
      <c r="K13" s="2" t="s">
        <v>75</v>
      </c>
      <c r="L13" s="2" t="s">
        <v>20</v>
      </c>
      <c r="M13" s="2" t="s">
        <v>20</v>
      </c>
      <c r="N13" s="2" t="s">
        <v>82</v>
      </c>
      <c r="O13" s="2" t="s">
        <v>10</v>
      </c>
      <c r="P13" s="2" t="s">
        <v>80</v>
      </c>
      <c r="Q13" s="2" t="s">
        <v>20</v>
      </c>
      <c r="R13" s="2"/>
      <c r="S13" s="2" t="str">
        <f t="shared" si="0"/>
        <v>category:network;subCategory:epg;application-profile:juicy_apps;domain:core_phyDom;contractConsume:any_con;contractProvide:any_con;name:vlan412_epg;nameAlias:;descr:;floodOnEncap:enabled;fwdCtrl:proxy-arp;hasMcastSource:no;isAttrBasedEPg:no;matchT:AtleastOne;pcEnfPref:enforced;prefGrMemb:include;shutdown:no;domain:</v>
      </c>
    </row>
    <row r="14" spans="1:25" x14ac:dyDescent="0.25">
      <c r="A14" s="2" t="s">
        <v>90</v>
      </c>
      <c r="B14" s="2" t="s">
        <v>92</v>
      </c>
      <c r="C14" s="2" t="s">
        <v>518</v>
      </c>
      <c r="D14" s="2" t="s">
        <v>97</v>
      </c>
      <c r="E14" s="2" t="s">
        <v>130</v>
      </c>
      <c r="F14" s="2" t="s">
        <v>130</v>
      </c>
      <c r="G14" s="2" t="s">
        <v>140</v>
      </c>
      <c r="H14" s="2"/>
      <c r="I14" s="2"/>
      <c r="J14" s="2" t="s">
        <v>12</v>
      </c>
      <c r="K14" s="2" t="s">
        <v>75</v>
      </c>
      <c r="L14" s="2" t="s">
        <v>20</v>
      </c>
      <c r="M14" s="2" t="s">
        <v>20</v>
      </c>
      <c r="N14" s="2" t="s">
        <v>82</v>
      </c>
      <c r="O14" s="2" t="s">
        <v>10</v>
      </c>
      <c r="P14" s="2" t="s">
        <v>80</v>
      </c>
      <c r="Q14" s="2" t="s">
        <v>20</v>
      </c>
      <c r="R14" s="2"/>
      <c r="S14" s="2" t="str">
        <f t="shared" si="0"/>
        <v>category:network;subCategory:epg;application-profile:juicy_apps;domain:core_phyDom;contractConsume:any_con;contractProvide:any_con;name:vlan413_epg;nameAlias:;descr:;floodOnEncap:enabled;fwdCtrl:proxy-arp;hasMcastSource:no;isAttrBasedEPg:no;matchT:AtleastOne;pcEnfPref:enforced;prefGrMemb:include;shutdown:no;domain:</v>
      </c>
    </row>
    <row r="15" spans="1:25" x14ac:dyDescent="0.25">
      <c r="A15" s="2" t="s">
        <v>90</v>
      </c>
      <c r="B15" s="2" t="s">
        <v>92</v>
      </c>
      <c r="C15" s="2" t="s">
        <v>518</v>
      </c>
      <c r="D15" s="2" t="s">
        <v>97</v>
      </c>
      <c r="E15" s="2" t="s">
        <v>130</v>
      </c>
      <c r="F15" s="2" t="s">
        <v>130</v>
      </c>
      <c r="G15" s="2" t="s">
        <v>141</v>
      </c>
      <c r="H15" s="2"/>
      <c r="I15" s="2"/>
      <c r="J15" s="2" t="s">
        <v>12</v>
      </c>
      <c r="K15" s="2" t="s">
        <v>75</v>
      </c>
      <c r="L15" s="2" t="s">
        <v>20</v>
      </c>
      <c r="M15" s="2" t="s">
        <v>20</v>
      </c>
      <c r="N15" s="2" t="s">
        <v>82</v>
      </c>
      <c r="O15" s="2" t="s">
        <v>10</v>
      </c>
      <c r="P15" s="2" t="s">
        <v>80</v>
      </c>
      <c r="Q15" s="2" t="s">
        <v>20</v>
      </c>
      <c r="R15" s="2"/>
      <c r="S15" s="2" t="str">
        <f t="shared" si="0"/>
        <v>category:network;subCategory:epg;application-profile:juicy_apps;domain:core_phyDom;contractConsume:any_con;contractProvide:any_con;name:vlan414_epg;nameAlias:;descr:;floodOnEncap:enabled;fwdCtrl:proxy-arp;hasMcastSource:no;isAttrBasedEPg:no;matchT:AtleastOne;pcEnfPref:enforced;prefGrMemb:include;shutdown:no;domain:</v>
      </c>
    </row>
    <row r="16" spans="1:25" x14ac:dyDescent="0.25">
      <c r="A16" s="2" t="s">
        <v>90</v>
      </c>
      <c r="B16" s="2" t="s">
        <v>92</v>
      </c>
      <c r="C16" s="2" t="s">
        <v>518</v>
      </c>
      <c r="D16" s="2" t="s">
        <v>97</v>
      </c>
      <c r="E16" s="2" t="s">
        <v>130</v>
      </c>
      <c r="F16" s="2" t="s">
        <v>130</v>
      </c>
      <c r="G16" s="2" t="s">
        <v>142</v>
      </c>
      <c r="H16" s="2"/>
      <c r="I16" s="2"/>
      <c r="J16" s="2" t="s">
        <v>12</v>
      </c>
      <c r="K16" s="2" t="s">
        <v>75</v>
      </c>
      <c r="L16" s="2" t="s">
        <v>20</v>
      </c>
      <c r="M16" s="2" t="s">
        <v>20</v>
      </c>
      <c r="N16" s="2" t="s">
        <v>82</v>
      </c>
      <c r="O16" s="2" t="s">
        <v>10</v>
      </c>
      <c r="P16" s="2" t="s">
        <v>80</v>
      </c>
      <c r="Q16" s="2" t="s">
        <v>20</v>
      </c>
      <c r="R16" s="2"/>
      <c r="S16" s="2" t="str">
        <f t="shared" si="0"/>
        <v>category:network;subCategory:epg;application-profile:juicy_apps;domain:core_phyDom;contractConsume:any_con;contractProvide:any_con;name:vlan415_epg;nameAlias:;descr:;floodOnEncap:enabled;fwdCtrl:proxy-arp;hasMcastSource:no;isAttrBasedEPg:no;matchT:AtleastOne;pcEnfPref:enforced;prefGrMemb:include;shutdown:no;domain:</v>
      </c>
    </row>
    <row r="17" spans="1:19" x14ac:dyDescent="0.25">
      <c r="A17" s="2" t="s">
        <v>90</v>
      </c>
      <c r="B17" s="2" t="s">
        <v>92</v>
      </c>
      <c r="C17" s="2" t="s">
        <v>518</v>
      </c>
      <c r="D17" s="2" t="s">
        <v>97</v>
      </c>
      <c r="E17" s="2" t="s">
        <v>130</v>
      </c>
      <c r="F17" s="2" t="s">
        <v>130</v>
      </c>
      <c r="G17" s="2" t="s">
        <v>143</v>
      </c>
      <c r="H17" s="2"/>
      <c r="I17" s="2"/>
      <c r="J17" s="2" t="s">
        <v>12</v>
      </c>
      <c r="K17" s="2" t="s">
        <v>75</v>
      </c>
      <c r="L17" s="2" t="s">
        <v>20</v>
      </c>
      <c r="M17" s="2" t="s">
        <v>20</v>
      </c>
      <c r="N17" s="2" t="s">
        <v>82</v>
      </c>
      <c r="O17" s="2" t="s">
        <v>10</v>
      </c>
      <c r="P17" s="2" t="s">
        <v>80</v>
      </c>
      <c r="Q17" s="2" t="s">
        <v>20</v>
      </c>
      <c r="R17" s="2"/>
      <c r="S17" s="2" t="str">
        <f t="shared" si="0"/>
        <v>category:network;subCategory:epg;application-profile:juicy_apps;domain:core_phyDom;contractConsume:any_con;contractProvide:any_con;name:vlan416_epg;nameAlias:;descr:;floodOnEncap:enabled;fwdCtrl:proxy-arp;hasMcastSource:no;isAttrBasedEPg:no;matchT:AtleastOne;pcEnfPref:enforced;prefGrMemb:include;shutdown:no;domain:</v>
      </c>
    </row>
    <row r="18" spans="1:19" x14ac:dyDescent="0.25">
      <c r="A18" s="2" t="s">
        <v>90</v>
      </c>
      <c r="B18" s="2" t="s">
        <v>92</v>
      </c>
      <c r="C18" s="2" t="s">
        <v>518</v>
      </c>
      <c r="D18" s="2" t="s">
        <v>97</v>
      </c>
      <c r="E18" s="2" t="s">
        <v>130</v>
      </c>
      <c r="F18" s="2" t="s">
        <v>130</v>
      </c>
      <c r="G18" s="2" t="s">
        <v>144</v>
      </c>
      <c r="H18" s="2"/>
      <c r="I18" s="2"/>
      <c r="J18" s="2" t="s">
        <v>12</v>
      </c>
      <c r="K18" s="2" t="s">
        <v>75</v>
      </c>
      <c r="L18" s="2" t="s">
        <v>20</v>
      </c>
      <c r="M18" s="2" t="s">
        <v>20</v>
      </c>
      <c r="N18" s="2" t="s">
        <v>82</v>
      </c>
      <c r="O18" s="2" t="s">
        <v>10</v>
      </c>
      <c r="P18" s="2" t="s">
        <v>80</v>
      </c>
      <c r="Q18" s="2" t="s">
        <v>20</v>
      </c>
      <c r="R18" s="2"/>
      <c r="S18" s="2" t="str">
        <f t="shared" si="0"/>
        <v>category:network;subCategory:epg;application-profile:juicy_apps;domain:core_phyDom;contractConsume:any_con;contractProvide:any_con;name:vlan417_epg;nameAlias:;descr:;floodOnEncap:enabled;fwdCtrl:proxy-arp;hasMcastSource:no;isAttrBasedEPg:no;matchT:AtleastOne;pcEnfPref:enforced;prefGrMemb:include;shutdown:no;domain:</v>
      </c>
    </row>
    <row r="19" spans="1:19" x14ac:dyDescent="0.25">
      <c r="A19" s="2" t="s">
        <v>90</v>
      </c>
      <c r="B19" s="2" t="s">
        <v>92</v>
      </c>
      <c r="C19" s="2" t="s">
        <v>518</v>
      </c>
      <c r="D19" s="2" t="s">
        <v>97</v>
      </c>
      <c r="E19" s="2" t="s">
        <v>130</v>
      </c>
      <c r="F19" s="2" t="s">
        <v>130</v>
      </c>
      <c r="G19" s="2" t="s">
        <v>145</v>
      </c>
      <c r="H19" s="2"/>
      <c r="I19" s="2"/>
      <c r="J19" s="2" t="s">
        <v>12</v>
      </c>
      <c r="K19" s="2" t="s">
        <v>75</v>
      </c>
      <c r="L19" s="2" t="s">
        <v>20</v>
      </c>
      <c r="M19" s="2" t="s">
        <v>20</v>
      </c>
      <c r="N19" s="2" t="s">
        <v>82</v>
      </c>
      <c r="O19" s="2" t="s">
        <v>10</v>
      </c>
      <c r="P19" s="2" t="s">
        <v>80</v>
      </c>
      <c r="Q19" s="2" t="s">
        <v>20</v>
      </c>
      <c r="R19" s="2"/>
      <c r="S19" s="2" t="str">
        <f t="shared" si="0"/>
        <v>category:network;subCategory:epg;application-profile:juicy_apps;domain:core_phyDom;contractConsume:any_con;contractProvide:any_con;name:vlan418_epg;nameAlias:;descr:;floodOnEncap:enabled;fwdCtrl:proxy-arp;hasMcastSource:no;isAttrBasedEPg:no;matchT:AtleastOne;pcEnfPref:enforced;prefGrMemb:include;shutdown:no;domain:</v>
      </c>
    </row>
    <row r="20" spans="1:19" x14ac:dyDescent="0.25">
      <c r="A20" s="2" t="s">
        <v>90</v>
      </c>
      <c r="B20" s="2" t="s">
        <v>92</v>
      </c>
      <c r="C20" s="2" t="s">
        <v>518</v>
      </c>
      <c r="D20" s="2" t="s">
        <v>97</v>
      </c>
      <c r="E20" s="2" t="s">
        <v>130</v>
      </c>
      <c r="F20" s="2" t="s">
        <v>130</v>
      </c>
      <c r="G20" s="2" t="s">
        <v>146</v>
      </c>
      <c r="H20" s="2"/>
      <c r="I20" s="2"/>
      <c r="J20" s="2" t="s">
        <v>12</v>
      </c>
      <c r="K20" s="2" t="s">
        <v>75</v>
      </c>
      <c r="L20" s="2" t="s">
        <v>20</v>
      </c>
      <c r="M20" s="2" t="s">
        <v>20</v>
      </c>
      <c r="N20" s="2" t="s">
        <v>82</v>
      </c>
      <c r="O20" s="2" t="s">
        <v>10</v>
      </c>
      <c r="P20" s="2" t="s">
        <v>80</v>
      </c>
      <c r="Q20" s="2" t="s">
        <v>20</v>
      </c>
      <c r="R20" s="2"/>
      <c r="S20" s="2" t="str">
        <f t="shared" si="0"/>
        <v>category:network;subCategory:epg;application-profile:juicy_apps;domain:core_phyDom;contractConsume:any_con;contractProvide:any_con;name:vlan419_epg;nameAlias:;descr:;floodOnEncap:enabled;fwdCtrl:proxy-arp;hasMcastSource:no;isAttrBasedEPg:no;matchT:AtleastOne;pcEnfPref:enforced;prefGrMemb:include;shutdown:no;domain:</v>
      </c>
    </row>
    <row r="21" spans="1:19" x14ac:dyDescent="0.25">
      <c r="A21" s="2" t="s">
        <v>90</v>
      </c>
      <c r="B21" s="2" t="s">
        <v>92</v>
      </c>
      <c r="C21" s="2" t="s">
        <v>518</v>
      </c>
      <c r="D21" s="2" t="s">
        <v>97</v>
      </c>
      <c r="E21" s="2" t="s">
        <v>130</v>
      </c>
      <c r="F21" s="2" t="s">
        <v>130</v>
      </c>
      <c r="G21" s="2" t="s">
        <v>147</v>
      </c>
      <c r="H21" s="2"/>
      <c r="I21" s="2"/>
      <c r="J21" s="2" t="s">
        <v>12</v>
      </c>
      <c r="K21" s="2" t="s">
        <v>75</v>
      </c>
      <c r="L21" s="2" t="s">
        <v>20</v>
      </c>
      <c r="M21" s="2" t="s">
        <v>20</v>
      </c>
      <c r="N21" s="2" t="s">
        <v>82</v>
      </c>
      <c r="O21" s="2" t="s">
        <v>10</v>
      </c>
      <c r="P21" s="2" t="s">
        <v>80</v>
      </c>
      <c r="Q21" s="2" t="s">
        <v>20</v>
      </c>
      <c r="R21" s="2"/>
      <c r="S21" s="2" t="str">
        <f t="shared" si="0"/>
        <v>category:network;subCategory:epg;application-profile:juicy_apps;domain:core_phyDom;contractConsume:any_con;contractProvide:any_con;name:vlan420_epg;nameAlias:;descr:;floodOnEncap:enabled;fwdCtrl:proxy-arp;hasMcastSource:no;isAttrBasedEPg:no;matchT:AtleastOne;pcEnfPref:enforced;prefGrMemb:include;shutdown:no;domain:</v>
      </c>
    </row>
    <row r="22" spans="1:19" x14ac:dyDescent="0.25">
      <c r="A22" s="2" t="s">
        <v>90</v>
      </c>
      <c r="B22" s="2" t="s">
        <v>92</v>
      </c>
      <c r="C22" s="2" t="s">
        <v>518</v>
      </c>
      <c r="D22" s="2" t="s">
        <v>97</v>
      </c>
      <c r="E22" s="2" t="s">
        <v>130</v>
      </c>
      <c r="F22" s="2" t="s">
        <v>130</v>
      </c>
      <c r="G22" s="2" t="s">
        <v>148</v>
      </c>
      <c r="H22" s="2"/>
      <c r="I22" s="2"/>
      <c r="J22" s="2" t="s">
        <v>12</v>
      </c>
      <c r="K22" s="2" t="s">
        <v>75</v>
      </c>
      <c r="L22" s="2" t="s">
        <v>20</v>
      </c>
      <c r="M22" s="2" t="s">
        <v>20</v>
      </c>
      <c r="N22" s="2" t="s">
        <v>82</v>
      </c>
      <c r="O22" s="2" t="s">
        <v>10</v>
      </c>
      <c r="P22" s="2" t="s">
        <v>80</v>
      </c>
      <c r="Q22" s="2" t="s">
        <v>20</v>
      </c>
      <c r="R22" s="2"/>
      <c r="S22" s="2" t="str">
        <f t="shared" si="0"/>
        <v>category:network;subCategory:epg;application-profile:juicy_apps;domain:core_phyDom;contractConsume:any_con;contractProvide:any_con;name:vlan421_epg;nameAlias:;descr:;floodOnEncap:enabled;fwdCtrl:proxy-arp;hasMcastSource:no;isAttrBasedEPg:no;matchT:AtleastOne;pcEnfPref:enforced;prefGrMemb:include;shutdown:no;domain:</v>
      </c>
    </row>
    <row r="23" spans="1:19" x14ac:dyDescent="0.25">
      <c r="A23" s="2" t="s">
        <v>90</v>
      </c>
      <c r="B23" s="2" t="s">
        <v>92</v>
      </c>
      <c r="C23" s="2" t="s">
        <v>518</v>
      </c>
      <c r="D23" s="2" t="s">
        <v>97</v>
      </c>
      <c r="E23" s="2" t="s">
        <v>130</v>
      </c>
      <c r="F23" s="2" t="s">
        <v>130</v>
      </c>
      <c r="G23" s="2" t="s">
        <v>149</v>
      </c>
      <c r="H23" s="2"/>
      <c r="I23" s="2"/>
      <c r="J23" s="2" t="s">
        <v>12</v>
      </c>
      <c r="K23" s="2" t="s">
        <v>75</v>
      </c>
      <c r="L23" s="2" t="s">
        <v>20</v>
      </c>
      <c r="M23" s="2" t="s">
        <v>20</v>
      </c>
      <c r="N23" s="2" t="s">
        <v>82</v>
      </c>
      <c r="O23" s="2" t="s">
        <v>10</v>
      </c>
      <c r="P23" s="2" t="s">
        <v>80</v>
      </c>
      <c r="Q23" s="2" t="s">
        <v>20</v>
      </c>
      <c r="R23" s="2"/>
      <c r="S23" s="2" t="str">
        <f t="shared" si="0"/>
        <v>category:network;subCategory:epg;application-profile:juicy_apps;domain:core_phyDom;contractConsume:any_con;contractProvide:any_con;name:vlan422_epg;nameAlias:;descr:;floodOnEncap:enabled;fwdCtrl:proxy-arp;hasMcastSource:no;isAttrBasedEPg:no;matchT:AtleastOne;pcEnfPref:enforced;prefGrMemb:include;shutdown:no;domain:</v>
      </c>
    </row>
    <row r="24" spans="1:19" x14ac:dyDescent="0.25">
      <c r="A24" s="2" t="s">
        <v>90</v>
      </c>
      <c r="B24" s="2" t="s">
        <v>92</v>
      </c>
      <c r="C24" s="2" t="s">
        <v>518</v>
      </c>
      <c r="D24" s="2" t="s">
        <v>97</v>
      </c>
      <c r="E24" s="2" t="s">
        <v>130</v>
      </c>
      <c r="F24" s="2" t="s">
        <v>130</v>
      </c>
      <c r="G24" s="2" t="s">
        <v>150</v>
      </c>
      <c r="H24" s="2"/>
      <c r="I24" s="2"/>
      <c r="J24" s="2" t="s">
        <v>12</v>
      </c>
      <c r="K24" s="2" t="s">
        <v>75</v>
      </c>
      <c r="L24" s="2" t="s">
        <v>20</v>
      </c>
      <c r="M24" s="2" t="s">
        <v>20</v>
      </c>
      <c r="N24" s="2" t="s">
        <v>82</v>
      </c>
      <c r="O24" s="2" t="s">
        <v>10</v>
      </c>
      <c r="P24" s="2" t="s">
        <v>80</v>
      </c>
      <c r="Q24" s="2" t="s">
        <v>20</v>
      </c>
      <c r="R24" s="2"/>
      <c r="S24" s="2" t="str">
        <f t="shared" si="0"/>
        <v>category:network;subCategory:epg;application-profile:juicy_apps;domain:core_phyDom;contractConsume:any_con;contractProvide:any_con;name:vlan497_epg;nameAlias:;descr:;floodOnEncap:enabled;fwdCtrl:proxy-arp;hasMcastSource:no;isAttrBasedEPg:no;matchT:AtleastOne;pcEnfPref:enforced;prefGrMemb:include;shutdown:no;domain:</v>
      </c>
    </row>
    <row r="25" spans="1:19" x14ac:dyDescent="0.25">
      <c r="A25" s="2" t="s">
        <v>90</v>
      </c>
      <c r="B25" s="2" t="s">
        <v>92</v>
      </c>
      <c r="C25" s="2" t="s">
        <v>518</v>
      </c>
      <c r="D25" s="2" t="s">
        <v>97</v>
      </c>
      <c r="E25" s="2" t="s">
        <v>130</v>
      </c>
      <c r="F25" s="2" t="s">
        <v>130</v>
      </c>
      <c r="G25" s="2" t="s">
        <v>151</v>
      </c>
      <c r="H25" s="2"/>
      <c r="I25" s="2"/>
      <c r="J25" s="2" t="s">
        <v>12</v>
      </c>
      <c r="K25" s="2" t="s">
        <v>75</v>
      </c>
      <c r="L25" s="2" t="s">
        <v>20</v>
      </c>
      <c r="M25" s="2" t="s">
        <v>20</v>
      </c>
      <c r="N25" s="2" t="s">
        <v>82</v>
      </c>
      <c r="O25" s="2" t="s">
        <v>10</v>
      </c>
      <c r="P25" s="2" t="s">
        <v>80</v>
      </c>
      <c r="Q25" s="2" t="s">
        <v>20</v>
      </c>
      <c r="R25" s="2"/>
      <c r="S25" s="2" t="str">
        <f t="shared" si="0"/>
        <v>category:network;subCategory:epg;application-profile:juicy_apps;domain:core_phyDom;contractConsume:any_con;contractProvide:any_con;name:vlan501_epg;nameAlias:;descr:;floodOnEncap:enabled;fwdCtrl:proxy-arp;hasMcastSource:no;isAttrBasedEPg:no;matchT:AtleastOne;pcEnfPref:enforced;prefGrMemb:include;shutdown:no;domain:</v>
      </c>
    </row>
    <row r="26" spans="1:19" x14ac:dyDescent="0.25">
      <c r="A26" s="2" t="s">
        <v>90</v>
      </c>
      <c r="B26" s="2" t="s">
        <v>92</v>
      </c>
      <c r="C26" s="2" t="s">
        <v>518</v>
      </c>
      <c r="D26" s="2" t="s">
        <v>97</v>
      </c>
      <c r="E26" s="2" t="s">
        <v>130</v>
      </c>
      <c r="F26" s="2" t="s">
        <v>130</v>
      </c>
      <c r="G26" s="2" t="s">
        <v>152</v>
      </c>
      <c r="H26" s="2"/>
      <c r="I26" s="2"/>
      <c r="J26" s="2" t="s">
        <v>12</v>
      </c>
      <c r="K26" s="2" t="s">
        <v>75</v>
      </c>
      <c r="L26" s="2" t="s">
        <v>20</v>
      </c>
      <c r="M26" s="2" t="s">
        <v>20</v>
      </c>
      <c r="N26" s="2" t="s">
        <v>82</v>
      </c>
      <c r="O26" s="2" t="s">
        <v>10</v>
      </c>
      <c r="P26" s="2" t="s">
        <v>80</v>
      </c>
      <c r="Q26" s="2" t="s">
        <v>20</v>
      </c>
      <c r="R26" s="2"/>
      <c r="S26" s="2" t="str">
        <f t="shared" si="0"/>
        <v>category:network;subCategory:epg;application-profile:juicy_apps;domain:core_phyDom;contractConsume:any_con;contractProvide:any_con;name:vlan502_epg;nameAlias:;descr:;floodOnEncap:enabled;fwdCtrl:proxy-arp;hasMcastSource:no;isAttrBasedEPg:no;matchT:AtleastOne;pcEnfPref:enforced;prefGrMemb:include;shutdown:no;domain:</v>
      </c>
    </row>
    <row r="27" spans="1:19" x14ac:dyDescent="0.25">
      <c r="A27" s="2" t="s">
        <v>90</v>
      </c>
      <c r="B27" s="2" t="s">
        <v>92</v>
      </c>
      <c r="C27" s="2" t="s">
        <v>518</v>
      </c>
      <c r="D27" s="2" t="s">
        <v>97</v>
      </c>
      <c r="E27" s="2" t="s">
        <v>130</v>
      </c>
      <c r="F27" s="2" t="s">
        <v>130</v>
      </c>
      <c r="G27" s="2" t="s">
        <v>153</v>
      </c>
      <c r="H27" s="2"/>
      <c r="I27" s="2"/>
      <c r="J27" s="2" t="s">
        <v>12</v>
      </c>
      <c r="K27" s="2" t="s">
        <v>75</v>
      </c>
      <c r="L27" s="2" t="s">
        <v>20</v>
      </c>
      <c r="M27" s="2" t="s">
        <v>20</v>
      </c>
      <c r="N27" s="2" t="s">
        <v>82</v>
      </c>
      <c r="O27" s="2" t="s">
        <v>10</v>
      </c>
      <c r="P27" s="2" t="s">
        <v>80</v>
      </c>
      <c r="Q27" s="2" t="s">
        <v>20</v>
      </c>
      <c r="R27" s="2"/>
      <c r="S27" s="2" t="str">
        <f t="shared" si="0"/>
        <v>category:network;subCategory:epg;application-profile:juicy_apps;domain:core_phyDom;contractConsume:any_con;contractProvide:any_con;name:vlan503_epg;nameAlias:;descr:;floodOnEncap:enabled;fwdCtrl:proxy-arp;hasMcastSource:no;isAttrBasedEPg:no;matchT:AtleastOne;pcEnfPref:enforced;prefGrMemb:include;shutdown:no;domain:</v>
      </c>
    </row>
    <row r="28" spans="1:19" x14ac:dyDescent="0.25">
      <c r="A28" s="2" t="s">
        <v>90</v>
      </c>
      <c r="B28" s="2" t="s">
        <v>92</v>
      </c>
      <c r="C28" s="2" t="s">
        <v>518</v>
      </c>
      <c r="D28" s="2" t="s">
        <v>97</v>
      </c>
      <c r="E28" s="2" t="s">
        <v>130</v>
      </c>
      <c r="F28" s="2" t="s">
        <v>130</v>
      </c>
      <c r="G28" s="2" t="s">
        <v>154</v>
      </c>
      <c r="H28" s="2"/>
      <c r="I28" s="2"/>
      <c r="J28" s="2" t="s">
        <v>12</v>
      </c>
      <c r="K28" s="2" t="s">
        <v>75</v>
      </c>
      <c r="L28" s="2" t="s">
        <v>20</v>
      </c>
      <c r="M28" s="2" t="s">
        <v>20</v>
      </c>
      <c r="N28" s="2" t="s">
        <v>82</v>
      </c>
      <c r="O28" s="2" t="s">
        <v>10</v>
      </c>
      <c r="P28" s="2" t="s">
        <v>80</v>
      </c>
      <c r="Q28" s="2" t="s">
        <v>20</v>
      </c>
      <c r="R28" s="2"/>
      <c r="S28" s="2" t="str">
        <f t="shared" si="0"/>
        <v>category:network;subCategory:epg;application-profile:juicy_apps;domain:core_phyDom;contractConsume:any_con;contractProvide:any_con;name:vlan504_epg;nameAlias:;descr:;floodOnEncap:enabled;fwdCtrl:proxy-arp;hasMcastSource:no;isAttrBasedEPg:no;matchT:AtleastOne;pcEnfPref:enforced;prefGrMemb:include;shutdown:no;domain:</v>
      </c>
    </row>
    <row r="29" spans="1:19" x14ac:dyDescent="0.25">
      <c r="A29" s="2" t="s">
        <v>90</v>
      </c>
      <c r="B29" s="2" t="s">
        <v>92</v>
      </c>
      <c r="C29" s="2" t="s">
        <v>518</v>
      </c>
      <c r="D29" s="2" t="s">
        <v>97</v>
      </c>
      <c r="E29" s="2" t="s">
        <v>130</v>
      </c>
      <c r="F29" s="2" t="s">
        <v>130</v>
      </c>
      <c r="G29" s="2" t="s">
        <v>155</v>
      </c>
      <c r="H29" s="2"/>
      <c r="I29" s="2"/>
      <c r="J29" s="2" t="s">
        <v>12</v>
      </c>
      <c r="K29" s="2" t="s">
        <v>75</v>
      </c>
      <c r="L29" s="2" t="s">
        <v>20</v>
      </c>
      <c r="M29" s="2" t="s">
        <v>20</v>
      </c>
      <c r="N29" s="2" t="s">
        <v>82</v>
      </c>
      <c r="O29" s="2" t="s">
        <v>10</v>
      </c>
      <c r="P29" s="2" t="s">
        <v>80</v>
      </c>
      <c r="Q29" s="2" t="s">
        <v>20</v>
      </c>
      <c r="R29" s="2"/>
      <c r="S29" s="2" t="str">
        <f t="shared" si="0"/>
        <v>category:network;subCategory:epg;application-profile:juicy_apps;domain:core_phyDom;contractConsume:any_con;contractProvide:any_con;name:vlan505_epg;nameAlias:;descr:;floodOnEncap:enabled;fwdCtrl:proxy-arp;hasMcastSource:no;isAttrBasedEPg:no;matchT:AtleastOne;pcEnfPref:enforced;prefGrMemb:include;shutdown:no;domain:</v>
      </c>
    </row>
    <row r="30" spans="1:19" x14ac:dyDescent="0.25">
      <c r="A30" s="2" t="s">
        <v>90</v>
      </c>
      <c r="B30" s="2" t="s">
        <v>92</v>
      </c>
      <c r="C30" s="2" t="s">
        <v>518</v>
      </c>
      <c r="D30" s="2" t="s">
        <v>97</v>
      </c>
      <c r="E30" s="2" t="s">
        <v>130</v>
      </c>
      <c r="F30" s="2" t="s">
        <v>130</v>
      </c>
      <c r="G30" s="2" t="s">
        <v>156</v>
      </c>
      <c r="H30" s="2"/>
      <c r="I30" s="2"/>
      <c r="J30" s="2" t="s">
        <v>12</v>
      </c>
      <c r="K30" s="2" t="s">
        <v>75</v>
      </c>
      <c r="L30" s="2" t="s">
        <v>20</v>
      </c>
      <c r="M30" s="2" t="s">
        <v>20</v>
      </c>
      <c r="N30" s="2" t="s">
        <v>82</v>
      </c>
      <c r="O30" s="2" t="s">
        <v>10</v>
      </c>
      <c r="P30" s="2" t="s">
        <v>80</v>
      </c>
      <c r="Q30" s="2" t="s">
        <v>20</v>
      </c>
      <c r="R30" s="2"/>
      <c r="S30" s="2" t="str">
        <f t="shared" si="0"/>
        <v>category:network;subCategory:epg;application-profile:juicy_apps;domain:core_phyDom;contractConsume:any_con;contractProvide:any_con;name:vlan506_epg;nameAlias:;descr:;floodOnEncap:enabled;fwdCtrl:proxy-arp;hasMcastSource:no;isAttrBasedEPg:no;matchT:AtleastOne;pcEnfPref:enforced;prefGrMemb:include;shutdown:no;domain:</v>
      </c>
    </row>
    <row r="31" spans="1:19" x14ac:dyDescent="0.25">
      <c r="A31" s="2" t="s">
        <v>90</v>
      </c>
      <c r="B31" s="2" t="s">
        <v>92</v>
      </c>
      <c r="C31" s="2" t="s">
        <v>518</v>
      </c>
      <c r="D31" s="2" t="s">
        <v>97</v>
      </c>
      <c r="E31" s="2" t="s">
        <v>130</v>
      </c>
      <c r="F31" s="2" t="s">
        <v>130</v>
      </c>
      <c r="G31" s="2" t="s">
        <v>157</v>
      </c>
      <c r="H31" s="2"/>
      <c r="I31" s="2"/>
      <c r="J31" s="2" t="s">
        <v>12</v>
      </c>
      <c r="K31" s="2" t="s">
        <v>75</v>
      </c>
      <c r="L31" s="2" t="s">
        <v>20</v>
      </c>
      <c r="M31" s="2" t="s">
        <v>20</v>
      </c>
      <c r="N31" s="2" t="s">
        <v>82</v>
      </c>
      <c r="O31" s="2" t="s">
        <v>10</v>
      </c>
      <c r="P31" s="2" t="s">
        <v>80</v>
      </c>
      <c r="Q31" s="2" t="s">
        <v>20</v>
      </c>
      <c r="R31" s="2"/>
      <c r="S31" s="2" t="str">
        <f t="shared" si="0"/>
        <v>category:network;subCategory:epg;application-profile:juicy_apps;domain:core_phyDom;contractConsume:any_con;contractProvide:any_con;name:vlan507_epg;nameAlias:;descr:;floodOnEncap:enabled;fwdCtrl:proxy-arp;hasMcastSource:no;isAttrBasedEPg:no;matchT:AtleastOne;pcEnfPref:enforced;prefGrMemb:include;shutdown:no;domain:</v>
      </c>
    </row>
    <row r="32" spans="1:19" x14ac:dyDescent="0.25">
      <c r="A32" s="2" t="s">
        <v>90</v>
      </c>
      <c r="B32" s="2" t="s">
        <v>92</v>
      </c>
      <c r="C32" s="2" t="s">
        <v>518</v>
      </c>
      <c r="D32" s="2" t="s">
        <v>97</v>
      </c>
      <c r="E32" s="2" t="s">
        <v>130</v>
      </c>
      <c r="F32" s="2" t="s">
        <v>130</v>
      </c>
      <c r="G32" s="2" t="s">
        <v>158</v>
      </c>
      <c r="H32" s="2"/>
      <c r="I32" s="2"/>
      <c r="J32" s="2" t="s">
        <v>12</v>
      </c>
      <c r="K32" s="2" t="s">
        <v>75</v>
      </c>
      <c r="L32" s="2" t="s">
        <v>20</v>
      </c>
      <c r="M32" s="2" t="s">
        <v>20</v>
      </c>
      <c r="N32" s="2" t="s">
        <v>82</v>
      </c>
      <c r="O32" s="2" t="s">
        <v>10</v>
      </c>
      <c r="P32" s="2" t="s">
        <v>80</v>
      </c>
      <c r="Q32" s="2" t="s">
        <v>20</v>
      </c>
      <c r="R32" s="2"/>
      <c r="S32" s="2" t="str">
        <f t="shared" si="0"/>
        <v>category:network;subCategory:epg;application-profile:juicy_apps;domain:core_phyDom;contractConsume:any_con;contractProvide:any_con;name:vlan508_epg;nameAlias:;descr:;floodOnEncap:enabled;fwdCtrl:proxy-arp;hasMcastSource:no;isAttrBasedEPg:no;matchT:AtleastOne;pcEnfPref:enforced;prefGrMemb:include;shutdown:no;domain:</v>
      </c>
    </row>
    <row r="33" spans="1:19" x14ac:dyDescent="0.25">
      <c r="A33" s="2" t="s">
        <v>90</v>
      </c>
      <c r="B33" s="2" t="s">
        <v>92</v>
      </c>
      <c r="C33" s="2" t="s">
        <v>518</v>
      </c>
      <c r="D33" s="2" t="s">
        <v>97</v>
      </c>
      <c r="E33" s="2" t="s">
        <v>130</v>
      </c>
      <c r="F33" s="2" t="s">
        <v>130</v>
      </c>
      <c r="G33" s="2" t="s">
        <v>159</v>
      </c>
      <c r="H33" s="2"/>
      <c r="I33" s="2"/>
      <c r="J33" s="2" t="s">
        <v>12</v>
      </c>
      <c r="K33" s="2" t="s">
        <v>75</v>
      </c>
      <c r="L33" s="2" t="s">
        <v>20</v>
      </c>
      <c r="M33" s="2" t="s">
        <v>20</v>
      </c>
      <c r="N33" s="2" t="s">
        <v>82</v>
      </c>
      <c r="O33" s="2" t="s">
        <v>10</v>
      </c>
      <c r="P33" s="2" t="s">
        <v>80</v>
      </c>
      <c r="Q33" s="2" t="s">
        <v>20</v>
      </c>
      <c r="R33" s="2"/>
      <c r="S33" s="2" t="str">
        <f t="shared" si="0"/>
        <v>category:network;subCategory:epg;application-profile:juicy_apps;domain:core_phyDom;contractConsume:any_con;contractProvide:any_con;name:vlan509_epg;nameAlias:;descr:;floodOnEncap:enabled;fwdCtrl:proxy-arp;hasMcastSource:no;isAttrBasedEPg:no;matchT:AtleastOne;pcEnfPref:enforced;prefGrMemb:include;shutdown:no;domain:</v>
      </c>
    </row>
    <row r="34" spans="1:19" x14ac:dyDescent="0.25">
      <c r="A34" s="2" t="s">
        <v>90</v>
      </c>
      <c r="B34" s="2" t="s">
        <v>92</v>
      </c>
      <c r="C34" s="2" t="s">
        <v>518</v>
      </c>
      <c r="D34" s="2" t="s">
        <v>97</v>
      </c>
      <c r="E34" s="2" t="s">
        <v>130</v>
      </c>
      <c r="F34" s="2" t="s">
        <v>130</v>
      </c>
      <c r="G34" s="2" t="s">
        <v>160</v>
      </c>
      <c r="H34" s="2"/>
      <c r="I34" s="2"/>
      <c r="J34" s="2" t="s">
        <v>12</v>
      </c>
      <c r="K34" s="2" t="s">
        <v>75</v>
      </c>
      <c r="L34" s="2" t="s">
        <v>20</v>
      </c>
      <c r="M34" s="2" t="s">
        <v>20</v>
      </c>
      <c r="N34" s="2" t="s">
        <v>82</v>
      </c>
      <c r="O34" s="2" t="s">
        <v>10</v>
      </c>
      <c r="P34" s="2" t="s">
        <v>80</v>
      </c>
      <c r="Q34" s="2" t="s">
        <v>20</v>
      </c>
      <c r="R34" s="2"/>
      <c r="S34" s="2" t="str">
        <f t="shared" si="0"/>
        <v>category:network;subCategory:epg;application-profile:juicy_apps;domain:core_phyDom;contractConsume:any_con;contractProvide:any_con;name:vlan510_epg;nameAlias:;descr:;floodOnEncap:enabled;fwdCtrl:proxy-arp;hasMcastSource:no;isAttrBasedEPg:no;matchT:AtleastOne;pcEnfPref:enforced;prefGrMemb:include;shutdown:no;domain:</v>
      </c>
    </row>
    <row r="35" spans="1:19" x14ac:dyDescent="0.25">
      <c r="A35" s="2" t="s">
        <v>90</v>
      </c>
      <c r="B35" s="2" t="s">
        <v>92</v>
      </c>
      <c r="C35" s="2" t="s">
        <v>518</v>
      </c>
      <c r="D35" s="2" t="s">
        <v>97</v>
      </c>
      <c r="E35" s="2" t="s">
        <v>130</v>
      </c>
      <c r="F35" s="2" t="s">
        <v>130</v>
      </c>
      <c r="G35" s="2" t="s">
        <v>161</v>
      </c>
      <c r="H35" s="2"/>
      <c r="I35" s="2"/>
      <c r="J35" s="2" t="s">
        <v>12</v>
      </c>
      <c r="K35" s="2" t="s">
        <v>75</v>
      </c>
      <c r="L35" s="2" t="s">
        <v>20</v>
      </c>
      <c r="M35" s="2" t="s">
        <v>20</v>
      </c>
      <c r="N35" s="2" t="s">
        <v>82</v>
      </c>
      <c r="O35" s="2" t="s">
        <v>10</v>
      </c>
      <c r="P35" s="2" t="s">
        <v>80</v>
      </c>
      <c r="Q35" s="2" t="s">
        <v>20</v>
      </c>
      <c r="R35" s="2"/>
      <c r="S35" s="2" t="str">
        <f t="shared" si="0"/>
        <v>category:network;subCategory:epg;application-profile:juicy_apps;domain:core_phyDom;contractConsume:any_con;contractProvide:any_con;name:vlan515_epg;nameAlias:;descr:;floodOnEncap:enabled;fwdCtrl:proxy-arp;hasMcastSource:no;isAttrBasedEPg:no;matchT:AtleastOne;pcEnfPref:enforced;prefGrMemb:include;shutdown:no;domain:</v>
      </c>
    </row>
    <row r="36" spans="1:19" x14ac:dyDescent="0.25">
      <c r="A36" s="2" t="s">
        <v>90</v>
      </c>
      <c r="B36" s="2" t="s">
        <v>92</v>
      </c>
      <c r="C36" s="2" t="s">
        <v>518</v>
      </c>
      <c r="D36" s="2" t="s">
        <v>97</v>
      </c>
      <c r="E36" s="2" t="s">
        <v>130</v>
      </c>
      <c r="F36" s="2" t="s">
        <v>130</v>
      </c>
      <c r="G36" s="2" t="s">
        <v>162</v>
      </c>
      <c r="H36" s="2"/>
      <c r="I36" s="2"/>
      <c r="J36" s="2" t="s">
        <v>12</v>
      </c>
      <c r="K36" s="2" t="s">
        <v>75</v>
      </c>
      <c r="L36" s="2" t="s">
        <v>20</v>
      </c>
      <c r="M36" s="2" t="s">
        <v>20</v>
      </c>
      <c r="N36" s="2" t="s">
        <v>82</v>
      </c>
      <c r="O36" s="2" t="s">
        <v>10</v>
      </c>
      <c r="P36" s="2" t="s">
        <v>80</v>
      </c>
      <c r="Q36" s="2" t="s">
        <v>20</v>
      </c>
      <c r="R36" s="2"/>
      <c r="S36" s="2" t="str">
        <f t="shared" si="0"/>
        <v>category:network;subCategory:epg;application-profile:juicy_apps;domain:core_phyDom;contractConsume:any_con;contractProvide:any_con;name:vlan516_epg;nameAlias:;descr:;floodOnEncap:enabled;fwdCtrl:proxy-arp;hasMcastSource:no;isAttrBasedEPg:no;matchT:AtleastOne;pcEnfPref:enforced;prefGrMemb:include;shutdown:no;domain:</v>
      </c>
    </row>
    <row r="37" spans="1:19" x14ac:dyDescent="0.25">
      <c r="A37" s="2" t="s">
        <v>90</v>
      </c>
      <c r="B37" s="2" t="s">
        <v>92</v>
      </c>
      <c r="C37" s="2" t="s">
        <v>518</v>
      </c>
      <c r="D37" s="2" t="s">
        <v>97</v>
      </c>
      <c r="E37" s="2" t="s">
        <v>130</v>
      </c>
      <c r="F37" s="2" t="s">
        <v>130</v>
      </c>
      <c r="G37" s="2" t="s">
        <v>163</v>
      </c>
      <c r="H37" s="2"/>
      <c r="I37" s="2"/>
      <c r="J37" s="2" t="s">
        <v>12</v>
      </c>
      <c r="K37" s="2" t="s">
        <v>75</v>
      </c>
      <c r="L37" s="2" t="s">
        <v>20</v>
      </c>
      <c r="M37" s="2" t="s">
        <v>20</v>
      </c>
      <c r="N37" s="2" t="s">
        <v>82</v>
      </c>
      <c r="O37" s="2" t="s">
        <v>10</v>
      </c>
      <c r="P37" s="2" t="s">
        <v>80</v>
      </c>
      <c r="Q37" s="2" t="s">
        <v>20</v>
      </c>
      <c r="R37" s="2"/>
      <c r="S37" s="2" t="str">
        <f t="shared" si="0"/>
        <v>category:network;subCategory:epg;application-profile:juicy_apps;domain:core_phyDom;contractConsume:any_con;contractProvide:any_con;name:vlan517_epg;nameAlias:;descr:;floodOnEncap:enabled;fwdCtrl:proxy-arp;hasMcastSource:no;isAttrBasedEPg:no;matchT:AtleastOne;pcEnfPref:enforced;prefGrMemb:include;shutdown:no;domain:</v>
      </c>
    </row>
    <row r="38" spans="1:19" x14ac:dyDescent="0.25">
      <c r="A38" s="2" t="s">
        <v>90</v>
      </c>
      <c r="B38" s="2" t="s">
        <v>92</v>
      </c>
      <c r="C38" s="2" t="s">
        <v>518</v>
      </c>
      <c r="D38" s="2" t="s">
        <v>97</v>
      </c>
      <c r="E38" s="2" t="s">
        <v>130</v>
      </c>
      <c r="F38" s="2" t="s">
        <v>130</v>
      </c>
      <c r="G38" s="2" t="s">
        <v>164</v>
      </c>
      <c r="H38" s="2"/>
      <c r="I38" s="2"/>
      <c r="J38" s="2" t="s">
        <v>12</v>
      </c>
      <c r="K38" s="2" t="s">
        <v>75</v>
      </c>
      <c r="L38" s="2" t="s">
        <v>20</v>
      </c>
      <c r="M38" s="2" t="s">
        <v>20</v>
      </c>
      <c r="N38" s="2" t="s">
        <v>82</v>
      </c>
      <c r="O38" s="2" t="s">
        <v>10</v>
      </c>
      <c r="P38" s="2" t="s">
        <v>80</v>
      </c>
      <c r="Q38" s="2" t="s">
        <v>20</v>
      </c>
      <c r="R38" s="2"/>
      <c r="S38" s="2" t="str">
        <f t="shared" si="0"/>
        <v>category:network;subCategory:epg;application-profile:juicy_apps;domain:core_phyDom;contractConsume:any_con;contractProvide:any_con;name:vlan518_epg;nameAlias:;descr:;floodOnEncap:enabled;fwdCtrl:proxy-arp;hasMcastSource:no;isAttrBasedEPg:no;matchT:AtleastOne;pcEnfPref:enforced;prefGrMemb:include;shutdown:no;domain:</v>
      </c>
    </row>
    <row r="39" spans="1:19" x14ac:dyDescent="0.25">
      <c r="A39" s="2" t="s">
        <v>90</v>
      </c>
      <c r="B39" s="2" t="s">
        <v>92</v>
      </c>
      <c r="C39" s="2" t="s">
        <v>518</v>
      </c>
      <c r="D39" s="2" t="s">
        <v>97</v>
      </c>
      <c r="E39" s="2" t="s">
        <v>130</v>
      </c>
      <c r="F39" s="2" t="s">
        <v>130</v>
      </c>
      <c r="G39" s="2" t="s">
        <v>165</v>
      </c>
      <c r="H39" s="2"/>
      <c r="I39" s="2"/>
      <c r="J39" s="2" t="s">
        <v>12</v>
      </c>
      <c r="K39" s="2" t="s">
        <v>75</v>
      </c>
      <c r="L39" s="2" t="s">
        <v>20</v>
      </c>
      <c r="M39" s="2" t="s">
        <v>20</v>
      </c>
      <c r="N39" s="2" t="s">
        <v>82</v>
      </c>
      <c r="O39" s="2" t="s">
        <v>10</v>
      </c>
      <c r="P39" s="2" t="s">
        <v>80</v>
      </c>
      <c r="Q39" s="2" t="s">
        <v>20</v>
      </c>
      <c r="R39" s="2"/>
      <c r="S39" s="2" t="str">
        <f t="shared" si="0"/>
        <v>category:network;subCategory:epg;application-profile:juicy_apps;domain:core_phyDom;contractConsume:any_con;contractProvide:any_con;name:vlan519_epg;nameAlias:;descr:;floodOnEncap:enabled;fwdCtrl:proxy-arp;hasMcastSource:no;isAttrBasedEPg:no;matchT:AtleastOne;pcEnfPref:enforced;prefGrMemb:include;shutdown:no;domain:</v>
      </c>
    </row>
    <row r="40" spans="1:19" x14ac:dyDescent="0.25">
      <c r="A40" s="2" t="s">
        <v>90</v>
      </c>
      <c r="B40" s="2" t="s">
        <v>92</v>
      </c>
      <c r="C40" s="2" t="s">
        <v>518</v>
      </c>
      <c r="D40" s="2" t="s">
        <v>97</v>
      </c>
      <c r="E40" s="2" t="s">
        <v>130</v>
      </c>
      <c r="F40" s="2" t="s">
        <v>130</v>
      </c>
      <c r="G40" s="2" t="s">
        <v>166</v>
      </c>
      <c r="H40" s="2"/>
      <c r="I40" s="2"/>
      <c r="J40" s="2" t="s">
        <v>12</v>
      </c>
      <c r="K40" s="2" t="s">
        <v>75</v>
      </c>
      <c r="L40" s="2" t="s">
        <v>20</v>
      </c>
      <c r="M40" s="2" t="s">
        <v>20</v>
      </c>
      <c r="N40" s="2" t="s">
        <v>82</v>
      </c>
      <c r="O40" s="2" t="s">
        <v>10</v>
      </c>
      <c r="P40" s="2" t="s">
        <v>80</v>
      </c>
      <c r="Q40" s="2" t="s">
        <v>20</v>
      </c>
      <c r="R40" s="2"/>
      <c r="S40" s="2" t="str">
        <f t="shared" si="0"/>
        <v>category:network;subCategory:epg;application-profile:juicy_apps;domain:core_phyDom;contractConsume:any_con;contractProvide:any_con;name:vlan520_epg;nameAlias:;descr:;floodOnEncap:enabled;fwdCtrl:proxy-arp;hasMcastSource:no;isAttrBasedEPg:no;matchT:AtleastOne;pcEnfPref:enforced;prefGrMemb:include;shutdown:no;domain:</v>
      </c>
    </row>
    <row r="41" spans="1:19" x14ac:dyDescent="0.25">
      <c r="A41" s="2" t="s">
        <v>90</v>
      </c>
      <c r="B41" s="2" t="s">
        <v>92</v>
      </c>
      <c r="C41" s="2" t="s">
        <v>518</v>
      </c>
      <c r="D41" s="2" t="s">
        <v>97</v>
      </c>
      <c r="E41" s="2" t="s">
        <v>130</v>
      </c>
      <c r="F41" s="2" t="s">
        <v>130</v>
      </c>
      <c r="G41" s="2" t="s">
        <v>167</v>
      </c>
      <c r="H41" s="2"/>
      <c r="I41" s="2"/>
      <c r="J41" s="2" t="s">
        <v>12</v>
      </c>
      <c r="K41" s="2" t="s">
        <v>75</v>
      </c>
      <c r="L41" s="2" t="s">
        <v>20</v>
      </c>
      <c r="M41" s="2" t="s">
        <v>20</v>
      </c>
      <c r="N41" s="2" t="s">
        <v>82</v>
      </c>
      <c r="O41" s="2" t="s">
        <v>10</v>
      </c>
      <c r="P41" s="2" t="s">
        <v>80</v>
      </c>
      <c r="Q41" s="2" t="s">
        <v>20</v>
      </c>
      <c r="R41" s="2"/>
      <c r="S41" s="2" t="str">
        <f t="shared" si="0"/>
        <v>category:network;subCategory:epg;application-profile:juicy_apps;domain:core_phyDom;contractConsume:any_con;contractProvide:any_con;name:vlan521_epg;nameAlias:;descr:;floodOnEncap:enabled;fwdCtrl:proxy-arp;hasMcastSource:no;isAttrBasedEPg:no;matchT:AtleastOne;pcEnfPref:enforced;prefGrMemb:include;shutdown:no;domain:</v>
      </c>
    </row>
    <row r="42" spans="1:19" x14ac:dyDescent="0.25">
      <c r="A42" s="2" t="s">
        <v>90</v>
      </c>
      <c r="B42" s="2" t="s">
        <v>92</v>
      </c>
      <c r="C42" s="2" t="s">
        <v>518</v>
      </c>
      <c r="D42" s="2" t="s">
        <v>97</v>
      </c>
      <c r="E42" s="2" t="s">
        <v>130</v>
      </c>
      <c r="F42" s="2" t="s">
        <v>130</v>
      </c>
      <c r="G42" s="2" t="s">
        <v>168</v>
      </c>
      <c r="H42" s="2"/>
      <c r="I42" s="2"/>
      <c r="J42" s="2" t="s">
        <v>12</v>
      </c>
      <c r="K42" s="2" t="s">
        <v>75</v>
      </c>
      <c r="L42" s="2" t="s">
        <v>20</v>
      </c>
      <c r="M42" s="2" t="s">
        <v>20</v>
      </c>
      <c r="N42" s="2" t="s">
        <v>82</v>
      </c>
      <c r="O42" s="2" t="s">
        <v>10</v>
      </c>
      <c r="P42" s="2" t="s">
        <v>80</v>
      </c>
      <c r="Q42" s="2" t="s">
        <v>20</v>
      </c>
      <c r="R42" s="2"/>
      <c r="S42" s="2" t="str">
        <f t="shared" si="0"/>
        <v>category:network;subCategory:epg;application-profile:juicy_apps;domain:core_phyDom;contractConsume:any_con;contractProvide:any_con;name:vlan522_epg;nameAlias:;descr:;floodOnEncap:enabled;fwdCtrl:proxy-arp;hasMcastSource:no;isAttrBasedEPg:no;matchT:AtleastOne;pcEnfPref:enforced;prefGrMemb:include;shutdown:no;domain:</v>
      </c>
    </row>
    <row r="43" spans="1:19" x14ac:dyDescent="0.25">
      <c r="A43" s="2" t="s">
        <v>90</v>
      </c>
      <c r="B43" s="2" t="s">
        <v>92</v>
      </c>
      <c r="C43" s="2" t="s">
        <v>518</v>
      </c>
      <c r="D43" s="2" t="s">
        <v>97</v>
      </c>
      <c r="E43" s="2" t="s">
        <v>130</v>
      </c>
      <c r="F43" s="2" t="s">
        <v>130</v>
      </c>
      <c r="G43" s="2" t="s">
        <v>169</v>
      </c>
      <c r="H43" s="2"/>
      <c r="I43" s="2"/>
      <c r="J43" s="2" t="s">
        <v>12</v>
      </c>
      <c r="K43" s="2" t="s">
        <v>75</v>
      </c>
      <c r="L43" s="2" t="s">
        <v>20</v>
      </c>
      <c r="M43" s="2" t="s">
        <v>20</v>
      </c>
      <c r="N43" s="2" t="s">
        <v>82</v>
      </c>
      <c r="O43" s="2" t="s">
        <v>10</v>
      </c>
      <c r="P43" s="2" t="s">
        <v>80</v>
      </c>
      <c r="Q43" s="2" t="s">
        <v>20</v>
      </c>
      <c r="R43" s="2"/>
      <c r="S43" s="2" t="str">
        <f t="shared" si="0"/>
        <v>category:network;subCategory:epg;application-profile:juicy_apps;domain:core_phyDom;contractConsume:any_con;contractProvide:any_con;name:vlan523_epg;nameAlias:;descr:;floodOnEncap:enabled;fwdCtrl:proxy-arp;hasMcastSource:no;isAttrBasedEPg:no;matchT:AtleastOne;pcEnfPref:enforced;prefGrMemb:include;shutdown:no;domain:</v>
      </c>
    </row>
    <row r="44" spans="1:19" x14ac:dyDescent="0.25">
      <c r="A44" s="2" t="s">
        <v>90</v>
      </c>
      <c r="B44" s="2" t="s">
        <v>92</v>
      </c>
      <c r="C44" s="2" t="s">
        <v>518</v>
      </c>
      <c r="D44" s="2" t="s">
        <v>97</v>
      </c>
      <c r="E44" s="2" t="s">
        <v>130</v>
      </c>
      <c r="F44" s="2" t="s">
        <v>130</v>
      </c>
      <c r="G44" s="2" t="s">
        <v>170</v>
      </c>
      <c r="H44" s="2"/>
      <c r="I44" s="2"/>
      <c r="J44" s="2" t="s">
        <v>12</v>
      </c>
      <c r="K44" s="2" t="s">
        <v>75</v>
      </c>
      <c r="L44" s="2" t="s">
        <v>20</v>
      </c>
      <c r="M44" s="2" t="s">
        <v>20</v>
      </c>
      <c r="N44" s="2" t="s">
        <v>82</v>
      </c>
      <c r="O44" s="2" t="s">
        <v>10</v>
      </c>
      <c r="P44" s="2" t="s">
        <v>80</v>
      </c>
      <c r="Q44" s="2" t="s">
        <v>20</v>
      </c>
      <c r="R44" s="2"/>
      <c r="S44" s="2" t="str">
        <f t="shared" si="0"/>
        <v>category:network;subCategory:epg;application-profile:juicy_apps;domain:core_phyDom;contractConsume:any_con;contractProvide:any_con;name:vlan524_epg;nameAlias:;descr:;floodOnEncap:enabled;fwdCtrl:proxy-arp;hasMcastSource:no;isAttrBasedEPg:no;matchT:AtleastOne;pcEnfPref:enforced;prefGrMemb:include;shutdown:no;domain:</v>
      </c>
    </row>
    <row r="45" spans="1:19" x14ac:dyDescent="0.25">
      <c r="A45" s="2" t="s">
        <v>90</v>
      </c>
      <c r="B45" s="2" t="s">
        <v>92</v>
      </c>
      <c r="C45" s="2" t="s">
        <v>518</v>
      </c>
      <c r="D45" s="2" t="s">
        <v>97</v>
      </c>
      <c r="E45" s="2" t="s">
        <v>130</v>
      </c>
      <c r="F45" s="2" t="s">
        <v>130</v>
      </c>
      <c r="G45" s="2" t="s">
        <v>171</v>
      </c>
      <c r="H45" s="2"/>
      <c r="I45" s="2"/>
      <c r="J45" s="2" t="s">
        <v>12</v>
      </c>
      <c r="K45" s="2" t="s">
        <v>75</v>
      </c>
      <c r="L45" s="2" t="s">
        <v>20</v>
      </c>
      <c r="M45" s="2" t="s">
        <v>20</v>
      </c>
      <c r="N45" s="2" t="s">
        <v>82</v>
      </c>
      <c r="O45" s="2" t="s">
        <v>10</v>
      </c>
      <c r="P45" s="2" t="s">
        <v>80</v>
      </c>
      <c r="Q45" s="2" t="s">
        <v>20</v>
      </c>
      <c r="R45" s="2"/>
      <c r="S45" s="2" t="str">
        <f t="shared" si="0"/>
        <v>category:network;subCategory:epg;application-profile:juicy_apps;domain:core_phyDom;contractConsume:any_con;contractProvide:any_con;name:vlan525_epg;nameAlias:;descr:;floodOnEncap:enabled;fwdCtrl:proxy-arp;hasMcastSource:no;isAttrBasedEPg:no;matchT:AtleastOne;pcEnfPref:enforced;prefGrMemb:include;shutdown:no;domain:</v>
      </c>
    </row>
    <row r="46" spans="1:19" x14ac:dyDescent="0.25">
      <c r="A46" s="2" t="s">
        <v>90</v>
      </c>
      <c r="B46" s="2" t="s">
        <v>92</v>
      </c>
      <c r="C46" s="2" t="s">
        <v>518</v>
      </c>
      <c r="D46" s="2" t="s">
        <v>97</v>
      </c>
      <c r="E46" s="2" t="s">
        <v>130</v>
      </c>
      <c r="F46" s="2" t="s">
        <v>130</v>
      </c>
      <c r="G46" s="2" t="s">
        <v>172</v>
      </c>
      <c r="H46" s="2"/>
      <c r="I46" s="2"/>
      <c r="J46" s="2" t="s">
        <v>12</v>
      </c>
      <c r="K46" s="2" t="s">
        <v>75</v>
      </c>
      <c r="L46" s="2" t="s">
        <v>20</v>
      </c>
      <c r="M46" s="2" t="s">
        <v>20</v>
      </c>
      <c r="N46" s="2" t="s">
        <v>82</v>
      </c>
      <c r="O46" s="2" t="s">
        <v>10</v>
      </c>
      <c r="P46" s="2" t="s">
        <v>80</v>
      </c>
      <c r="Q46" s="2" t="s">
        <v>20</v>
      </c>
      <c r="R46" s="2"/>
      <c r="S46" s="2" t="str">
        <f t="shared" si="0"/>
        <v>category:network;subCategory:epg;application-profile:juicy_apps;domain:core_phyDom;contractConsume:any_con;contractProvide:any_con;name:vlan526_epg;nameAlias:;descr:;floodOnEncap:enabled;fwdCtrl:proxy-arp;hasMcastSource:no;isAttrBasedEPg:no;matchT:AtleastOne;pcEnfPref:enforced;prefGrMemb:include;shutdown:no;domain:</v>
      </c>
    </row>
    <row r="47" spans="1:19" x14ac:dyDescent="0.25">
      <c r="A47" s="2" t="s">
        <v>90</v>
      </c>
      <c r="B47" s="2" t="s">
        <v>92</v>
      </c>
      <c r="C47" s="2" t="s">
        <v>518</v>
      </c>
      <c r="D47" s="2" t="s">
        <v>97</v>
      </c>
      <c r="E47" s="2" t="s">
        <v>130</v>
      </c>
      <c r="F47" s="2" t="s">
        <v>130</v>
      </c>
      <c r="G47" s="2" t="s">
        <v>173</v>
      </c>
      <c r="H47" s="2"/>
      <c r="I47" s="2"/>
      <c r="J47" s="2" t="s">
        <v>12</v>
      </c>
      <c r="K47" s="2" t="s">
        <v>75</v>
      </c>
      <c r="L47" s="2" t="s">
        <v>20</v>
      </c>
      <c r="M47" s="2" t="s">
        <v>20</v>
      </c>
      <c r="N47" s="2" t="s">
        <v>82</v>
      </c>
      <c r="O47" s="2" t="s">
        <v>10</v>
      </c>
      <c r="P47" s="2" t="s">
        <v>80</v>
      </c>
      <c r="Q47" s="2" t="s">
        <v>20</v>
      </c>
      <c r="R47" s="2"/>
      <c r="S47" s="2" t="str">
        <f t="shared" si="0"/>
        <v>category:network;subCategory:epg;application-profile:juicy_apps;domain:core_phyDom;contractConsume:any_con;contractProvide:any_con;name:vlan527_epg;nameAlias:;descr:;floodOnEncap:enabled;fwdCtrl:proxy-arp;hasMcastSource:no;isAttrBasedEPg:no;matchT:AtleastOne;pcEnfPref:enforced;prefGrMemb:include;shutdown:no;domain:</v>
      </c>
    </row>
    <row r="48" spans="1:19" x14ac:dyDescent="0.25">
      <c r="A48" s="2" t="s">
        <v>90</v>
      </c>
      <c r="B48" s="2" t="s">
        <v>92</v>
      </c>
      <c r="C48" s="2" t="s">
        <v>518</v>
      </c>
      <c r="D48" s="2" t="s">
        <v>97</v>
      </c>
      <c r="E48" s="2" t="s">
        <v>130</v>
      </c>
      <c r="F48" s="2" t="s">
        <v>130</v>
      </c>
      <c r="G48" s="2" t="s">
        <v>174</v>
      </c>
      <c r="H48" s="2"/>
      <c r="I48" s="2"/>
      <c r="J48" s="2" t="s">
        <v>12</v>
      </c>
      <c r="K48" s="2" t="s">
        <v>75</v>
      </c>
      <c r="L48" s="2" t="s">
        <v>20</v>
      </c>
      <c r="M48" s="2" t="s">
        <v>20</v>
      </c>
      <c r="N48" s="2" t="s">
        <v>82</v>
      </c>
      <c r="O48" s="2" t="s">
        <v>10</v>
      </c>
      <c r="P48" s="2" t="s">
        <v>80</v>
      </c>
      <c r="Q48" s="2" t="s">
        <v>20</v>
      </c>
      <c r="R48" s="2"/>
      <c r="S48" s="2" t="str">
        <f t="shared" si="0"/>
        <v>category:network;subCategory:epg;application-profile:juicy_apps;domain:core_phyDom;contractConsume:any_con;contractProvide:any_con;name:vlan528_epg;nameAlias:;descr:;floodOnEncap:enabled;fwdCtrl:proxy-arp;hasMcastSource:no;isAttrBasedEPg:no;matchT:AtleastOne;pcEnfPref:enforced;prefGrMemb:include;shutdown:no;domain:</v>
      </c>
    </row>
    <row r="49" spans="1:19" x14ac:dyDescent="0.25">
      <c r="A49" s="2" t="s">
        <v>90</v>
      </c>
      <c r="B49" s="2" t="s">
        <v>92</v>
      </c>
      <c r="C49" s="2" t="s">
        <v>518</v>
      </c>
      <c r="D49" s="2" t="s">
        <v>97</v>
      </c>
      <c r="E49" s="2" t="s">
        <v>130</v>
      </c>
      <c r="F49" s="2" t="s">
        <v>130</v>
      </c>
      <c r="G49" s="2" t="s">
        <v>175</v>
      </c>
      <c r="H49" s="2"/>
      <c r="I49" s="2"/>
      <c r="J49" s="2" t="s">
        <v>12</v>
      </c>
      <c r="K49" s="2" t="s">
        <v>75</v>
      </c>
      <c r="L49" s="2" t="s">
        <v>20</v>
      </c>
      <c r="M49" s="2" t="s">
        <v>20</v>
      </c>
      <c r="N49" s="2" t="s">
        <v>82</v>
      </c>
      <c r="O49" s="2" t="s">
        <v>10</v>
      </c>
      <c r="P49" s="2" t="s">
        <v>80</v>
      </c>
      <c r="Q49" s="2" t="s">
        <v>20</v>
      </c>
      <c r="R49" s="2"/>
      <c r="S49" s="2" t="str">
        <f t="shared" si="0"/>
        <v>category:network;subCategory:epg;application-profile:juicy_apps;domain:core_phyDom;contractConsume:any_con;contractProvide:any_con;name:vlan529_epg;nameAlias:;descr:;floodOnEncap:enabled;fwdCtrl:proxy-arp;hasMcastSource:no;isAttrBasedEPg:no;matchT:AtleastOne;pcEnfPref:enforced;prefGrMemb:include;shutdown:no;domain:</v>
      </c>
    </row>
    <row r="50" spans="1:19" x14ac:dyDescent="0.25">
      <c r="A50" s="2" t="s">
        <v>90</v>
      </c>
      <c r="B50" s="2" t="s">
        <v>92</v>
      </c>
      <c r="C50" s="2" t="s">
        <v>518</v>
      </c>
      <c r="D50" s="2" t="s">
        <v>97</v>
      </c>
      <c r="E50" s="2" t="s">
        <v>130</v>
      </c>
      <c r="F50" s="2" t="s">
        <v>130</v>
      </c>
      <c r="G50" s="2" t="s">
        <v>176</v>
      </c>
      <c r="H50" s="2"/>
      <c r="I50" s="2"/>
      <c r="J50" s="2" t="s">
        <v>12</v>
      </c>
      <c r="K50" s="2" t="s">
        <v>75</v>
      </c>
      <c r="L50" s="2" t="s">
        <v>20</v>
      </c>
      <c r="M50" s="2" t="s">
        <v>20</v>
      </c>
      <c r="N50" s="2" t="s">
        <v>82</v>
      </c>
      <c r="O50" s="2" t="s">
        <v>10</v>
      </c>
      <c r="P50" s="2" t="s">
        <v>80</v>
      </c>
      <c r="Q50" s="2" t="s">
        <v>20</v>
      </c>
      <c r="R50" s="2"/>
      <c r="S50" s="2" t="str">
        <f t="shared" si="0"/>
        <v>category:network;subCategory:epg;application-profile:juicy_apps;domain:core_phyDom;contractConsume:any_con;contractProvide:any_con;name:vlan530_epg;nameAlias:;descr:;floodOnEncap:enabled;fwdCtrl:proxy-arp;hasMcastSource:no;isAttrBasedEPg:no;matchT:AtleastOne;pcEnfPref:enforced;prefGrMemb:include;shutdown:no;domain:</v>
      </c>
    </row>
    <row r="51" spans="1:19" x14ac:dyDescent="0.25">
      <c r="A51" s="2" t="s">
        <v>90</v>
      </c>
      <c r="B51" s="2" t="s">
        <v>92</v>
      </c>
      <c r="C51" s="2" t="s">
        <v>518</v>
      </c>
      <c r="D51" s="2" t="s">
        <v>97</v>
      </c>
      <c r="E51" s="2" t="s">
        <v>130</v>
      </c>
      <c r="F51" s="2" t="s">
        <v>130</v>
      </c>
      <c r="G51" s="2" t="s">
        <v>177</v>
      </c>
      <c r="H51" s="2"/>
      <c r="I51" s="2"/>
      <c r="J51" s="2" t="s">
        <v>12</v>
      </c>
      <c r="K51" s="2" t="s">
        <v>75</v>
      </c>
      <c r="L51" s="2" t="s">
        <v>20</v>
      </c>
      <c r="M51" s="2" t="s">
        <v>20</v>
      </c>
      <c r="N51" s="2" t="s">
        <v>82</v>
      </c>
      <c r="O51" s="2" t="s">
        <v>10</v>
      </c>
      <c r="P51" s="2" t="s">
        <v>80</v>
      </c>
      <c r="Q51" s="2" t="s">
        <v>20</v>
      </c>
      <c r="R51" s="2"/>
      <c r="S51" s="2" t="str">
        <f t="shared" si="0"/>
        <v>category:network;subCategory:epg;application-profile:juicy_apps;domain:core_phyDom;contractConsume:any_con;contractProvide:any_con;name:vlan531_epg;nameAlias:;descr:;floodOnEncap:enabled;fwdCtrl:proxy-arp;hasMcastSource:no;isAttrBasedEPg:no;matchT:AtleastOne;pcEnfPref:enforced;prefGrMemb:include;shutdown:no;domain:</v>
      </c>
    </row>
    <row r="52" spans="1:19" x14ac:dyDescent="0.25">
      <c r="A52" s="2" t="s">
        <v>90</v>
      </c>
      <c r="B52" s="2" t="s">
        <v>92</v>
      </c>
      <c r="C52" s="2" t="s">
        <v>518</v>
      </c>
      <c r="D52" s="2" t="s">
        <v>97</v>
      </c>
      <c r="E52" s="2" t="s">
        <v>130</v>
      </c>
      <c r="F52" s="2" t="s">
        <v>130</v>
      </c>
      <c r="G52" s="2" t="s">
        <v>178</v>
      </c>
      <c r="H52" s="2"/>
      <c r="I52" s="2"/>
      <c r="J52" s="2" t="s">
        <v>12</v>
      </c>
      <c r="K52" s="2" t="s">
        <v>75</v>
      </c>
      <c r="L52" s="2" t="s">
        <v>20</v>
      </c>
      <c r="M52" s="2" t="s">
        <v>20</v>
      </c>
      <c r="N52" s="2" t="s">
        <v>82</v>
      </c>
      <c r="O52" s="2" t="s">
        <v>10</v>
      </c>
      <c r="P52" s="2" t="s">
        <v>80</v>
      </c>
      <c r="Q52" s="2" t="s">
        <v>20</v>
      </c>
      <c r="R52" s="2"/>
      <c r="S52" s="2" t="str">
        <f t="shared" si="0"/>
        <v>category:network;subCategory:epg;application-profile:juicy_apps;domain:core_phyDom;contractConsume:any_con;contractProvide:any_con;name:vlan593_epg;nameAlias:;descr:;floodOnEncap:enabled;fwdCtrl:proxy-arp;hasMcastSource:no;isAttrBasedEPg:no;matchT:AtleastOne;pcEnfPref:enforced;prefGrMemb:include;shutdown:no;domain:</v>
      </c>
    </row>
    <row r="53" spans="1:19" x14ac:dyDescent="0.25">
      <c r="A53" s="2" t="s">
        <v>90</v>
      </c>
      <c r="B53" s="2" t="s">
        <v>92</v>
      </c>
      <c r="C53" s="2" t="s">
        <v>518</v>
      </c>
      <c r="D53" s="2" t="s">
        <v>97</v>
      </c>
      <c r="E53" s="2" t="s">
        <v>130</v>
      </c>
      <c r="F53" s="2" t="s">
        <v>130</v>
      </c>
      <c r="G53" s="2" t="s">
        <v>179</v>
      </c>
      <c r="H53" s="2"/>
      <c r="I53" s="2"/>
      <c r="J53" s="2" t="s">
        <v>12</v>
      </c>
      <c r="K53" s="2" t="s">
        <v>75</v>
      </c>
      <c r="L53" s="2" t="s">
        <v>20</v>
      </c>
      <c r="M53" s="2" t="s">
        <v>20</v>
      </c>
      <c r="N53" s="2" t="s">
        <v>82</v>
      </c>
      <c r="O53" s="2" t="s">
        <v>10</v>
      </c>
      <c r="P53" s="2" t="s">
        <v>80</v>
      </c>
      <c r="Q53" s="2" t="s">
        <v>20</v>
      </c>
      <c r="R53" s="2"/>
      <c r="S53" s="2" t="str">
        <f t="shared" si="0"/>
        <v>category:network;subCategory:epg;application-profile:juicy_apps;domain:core_phyDom;contractConsume:any_con;contractProvide:any_con;name:vlan595_epg;nameAlias:;descr:;floodOnEncap:enabled;fwdCtrl:proxy-arp;hasMcastSource:no;isAttrBasedEPg:no;matchT:AtleastOne;pcEnfPref:enforced;prefGrMemb:include;shutdown:no;domain:</v>
      </c>
    </row>
    <row r="54" spans="1:19" x14ac:dyDescent="0.25">
      <c r="A54" s="2" t="s">
        <v>90</v>
      </c>
      <c r="B54" s="2" t="s">
        <v>92</v>
      </c>
      <c r="C54" s="2" t="s">
        <v>518</v>
      </c>
      <c r="D54" s="2" t="s">
        <v>97</v>
      </c>
      <c r="E54" s="2" t="s">
        <v>130</v>
      </c>
      <c r="F54" s="2" t="s">
        <v>130</v>
      </c>
      <c r="G54" s="2" t="s">
        <v>180</v>
      </c>
      <c r="H54" s="2"/>
      <c r="I54" s="2"/>
      <c r="J54" s="2" t="s">
        <v>12</v>
      </c>
      <c r="K54" s="2" t="s">
        <v>75</v>
      </c>
      <c r="L54" s="2" t="s">
        <v>20</v>
      </c>
      <c r="M54" s="2" t="s">
        <v>20</v>
      </c>
      <c r="N54" s="2" t="s">
        <v>82</v>
      </c>
      <c r="O54" s="2" t="s">
        <v>10</v>
      </c>
      <c r="P54" s="2" t="s">
        <v>80</v>
      </c>
      <c r="Q54" s="2" t="s">
        <v>20</v>
      </c>
      <c r="R54" s="2"/>
      <c r="S54" s="2" t="str">
        <f t="shared" si="0"/>
        <v>category:network;subCategory:epg;application-profile:juicy_apps;domain:core_phyDom;contractConsume:any_con;contractProvide:any_con;name:vlan901_epg;nameAlias:;descr:;floodOnEncap:enabled;fwdCtrl:proxy-arp;hasMcastSource:no;isAttrBasedEPg:no;matchT:AtleastOne;pcEnfPref:enforced;prefGrMemb:include;shutdown:no;domain:</v>
      </c>
    </row>
    <row r="55" spans="1:19" x14ac:dyDescent="0.25">
      <c r="A55" s="2" t="s">
        <v>90</v>
      </c>
      <c r="B55" s="2" t="s">
        <v>92</v>
      </c>
      <c r="C55" s="2" t="s">
        <v>518</v>
      </c>
      <c r="D55" s="2" t="s">
        <v>97</v>
      </c>
      <c r="E55" s="2" t="s">
        <v>130</v>
      </c>
      <c r="F55" s="2" t="s">
        <v>130</v>
      </c>
      <c r="G55" s="2" t="s">
        <v>181</v>
      </c>
      <c r="H55" s="2"/>
      <c r="I55" s="2"/>
      <c r="J55" s="2" t="s">
        <v>12</v>
      </c>
      <c r="K55" s="2" t="s">
        <v>75</v>
      </c>
      <c r="L55" s="2" t="s">
        <v>20</v>
      </c>
      <c r="M55" s="2" t="s">
        <v>20</v>
      </c>
      <c r="N55" s="2" t="s">
        <v>82</v>
      </c>
      <c r="O55" s="2" t="s">
        <v>10</v>
      </c>
      <c r="P55" s="2" t="s">
        <v>80</v>
      </c>
      <c r="Q55" s="2" t="s">
        <v>20</v>
      </c>
      <c r="R55" s="2"/>
      <c r="S55" s="2" t="str">
        <f t="shared" si="0"/>
        <v>category:network;subCategory:epg;application-profile:juicy_apps;domain:core_phyDom;contractConsume:any_con;contractProvide:any_con;name:vlan902_epg;nameAlias:;descr:;floodOnEncap:enabled;fwdCtrl:proxy-arp;hasMcastSource:no;isAttrBasedEPg:no;matchT:AtleastOne;pcEnfPref:enforced;prefGrMemb:include;shutdown:no;domain:</v>
      </c>
    </row>
    <row r="56" spans="1:19" x14ac:dyDescent="0.25">
      <c r="A56" s="2" t="s">
        <v>90</v>
      </c>
      <c r="B56" s="2" t="s">
        <v>92</v>
      </c>
      <c r="C56" s="2" t="s">
        <v>518</v>
      </c>
      <c r="D56" s="2" t="s">
        <v>97</v>
      </c>
      <c r="E56" s="2" t="s">
        <v>130</v>
      </c>
      <c r="F56" s="2" t="s">
        <v>130</v>
      </c>
      <c r="G56" s="2" t="s">
        <v>182</v>
      </c>
      <c r="H56" s="2"/>
      <c r="I56" s="2"/>
      <c r="J56" s="2" t="s">
        <v>12</v>
      </c>
      <c r="K56" s="2" t="s">
        <v>75</v>
      </c>
      <c r="L56" s="2" t="s">
        <v>20</v>
      </c>
      <c r="M56" s="2" t="s">
        <v>20</v>
      </c>
      <c r="N56" s="2" t="s">
        <v>82</v>
      </c>
      <c r="O56" s="2" t="s">
        <v>10</v>
      </c>
      <c r="P56" s="2" t="s">
        <v>80</v>
      </c>
      <c r="Q56" s="2" t="s">
        <v>20</v>
      </c>
      <c r="R56" s="2"/>
      <c r="S56" s="2" t="str">
        <f t="shared" si="0"/>
        <v>category:network;subCategory:epg;application-profile:juicy_apps;domain:core_phyDom;contractConsume:any_con;contractProvide:any_con;name:vlan903_epg;nameAlias:;descr:;floodOnEncap:enabled;fwdCtrl:proxy-arp;hasMcastSource:no;isAttrBasedEPg:no;matchT:AtleastOne;pcEnfPref:enforced;prefGrMemb:include;shutdown:no;domain:</v>
      </c>
    </row>
    <row r="57" spans="1:19" x14ac:dyDescent="0.25">
      <c r="A57" s="2" t="s">
        <v>90</v>
      </c>
      <c r="B57" s="2" t="s">
        <v>92</v>
      </c>
      <c r="C57" s="2" t="s">
        <v>518</v>
      </c>
      <c r="D57" s="2" t="s">
        <v>97</v>
      </c>
      <c r="E57" s="2" t="s">
        <v>130</v>
      </c>
      <c r="F57" s="2" t="s">
        <v>130</v>
      </c>
      <c r="G57" s="2" t="s">
        <v>183</v>
      </c>
      <c r="H57" s="2"/>
      <c r="I57" s="2"/>
      <c r="J57" s="2" t="s">
        <v>12</v>
      </c>
      <c r="K57" s="2" t="s">
        <v>75</v>
      </c>
      <c r="L57" s="2" t="s">
        <v>20</v>
      </c>
      <c r="M57" s="2" t="s">
        <v>20</v>
      </c>
      <c r="N57" s="2" t="s">
        <v>82</v>
      </c>
      <c r="O57" s="2" t="s">
        <v>10</v>
      </c>
      <c r="P57" s="2" t="s">
        <v>80</v>
      </c>
      <c r="Q57" s="2" t="s">
        <v>20</v>
      </c>
      <c r="R57" s="2"/>
      <c r="S57" s="2" t="str">
        <f t="shared" si="0"/>
        <v>category:network;subCategory:epg;application-profile:juicy_apps;domain:core_phyDom;contractConsume:any_con;contractProvide:any_con;name:vlan904_epg;nameAlias:;descr:;floodOnEncap:enabled;fwdCtrl:proxy-arp;hasMcastSource:no;isAttrBasedEPg:no;matchT:AtleastOne;pcEnfPref:enforced;prefGrMemb:include;shutdown:no;domain:</v>
      </c>
    </row>
    <row r="58" spans="1:19" x14ac:dyDescent="0.25">
      <c r="A58" s="2" t="s">
        <v>90</v>
      </c>
      <c r="B58" s="2" t="s">
        <v>92</v>
      </c>
      <c r="C58" s="2" t="s">
        <v>518</v>
      </c>
      <c r="D58" s="2" t="s">
        <v>97</v>
      </c>
      <c r="E58" s="2" t="s">
        <v>130</v>
      </c>
      <c r="F58" s="2" t="s">
        <v>130</v>
      </c>
      <c r="G58" s="2" t="s">
        <v>184</v>
      </c>
      <c r="H58" s="2"/>
      <c r="I58" s="2"/>
      <c r="J58" s="2" t="s">
        <v>12</v>
      </c>
      <c r="K58" s="2" t="s">
        <v>75</v>
      </c>
      <c r="L58" s="2" t="s">
        <v>20</v>
      </c>
      <c r="M58" s="2" t="s">
        <v>20</v>
      </c>
      <c r="N58" s="2" t="s">
        <v>82</v>
      </c>
      <c r="O58" s="2" t="s">
        <v>10</v>
      </c>
      <c r="P58" s="2" t="s">
        <v>80</v>
      </c>
      <c r="Q58" s="2" t="s">
        <v>20</v>
      </c>
      <c r="R58" s="2"/>
      <c r="S58" s="2" t="str">
        <f t="shared" si="0"/>
        <v>category:network;subCategory:epg;application-profile:juicy_apps;domain:core_phyDom;contractConsume:any_con;contractProvide:any_con;name:vlan905_epg;nameAlias:;descr:;floodOnEncap:enabled;fwdCtrl:proxy-arp;hasMcastSource:no;isAttrBasedEPg:no;matchT:AtleastOne;pcEnfPref:enforced;prefGrMemb:include;shutdown:no;domain:</v>
      </c>
    </row>
    <row r="59" spans="1:19" x14ac:dyDescent="0.25">
      <c r="A59" s="2" t="s">
        <v>90</v>
      </c>
      <c r="B59" s="2" t="s">
        <v>92</v>
      </c>
      <c r="C59" s="2" t="s">
        <v>518</v>
      </c>
      <c r="D59" s="2" t="s">
        <v>97</v>
      </c>
      <c r="E59" s="2" t="s">
        <v>130</v>
      </c>
      <c r="F59" s="2" t="s">
        <v>130</v>
      </c>
      <c r="G59" s="2" t="s">
        <v>185</v>
      </c>
      <c r="H59" s="2"/>
      <c r="I59" s="2"/>
      <c r="J59" s="2" t="s">
        <v>12</v>
      </c>
      <c r="K59" s="2" t="s">
        <v>75</v>
      </c>
      <c r="L59" s="2" t="s">
        <v>20</v>
      </c>
      <c r="M59" s="2" t="s">
        <v>20</v>
      </c>
      <c r="N59" s="2" t="s">
        <v>82</v>
      </c>
      <c r="O59" s="2" t="s">
        <v>10</v>
      </c>
      <c r="P59" s="2" t="s">
        <v>80</v>
      </c>
      <c r="Q59" s="2" t="s">
        <v>20</v>
      </c>
      <c r="R59" s="2"/>
      <c r="S59" s="2" t="str">
        <f t="shared" si="0"/>
        <v>category:network;subCategory:epg;application-profile:juicy_apps;domain:core_phyDom;contractConsume:any_con;contractProvide:any_con;name:vlan906_epg;nameAlias:;descr:;floodOnEncap:enabled;fwdCtrl:proxy-arp;hasMcastSource:no;isAttrBasedEPg:no;matchT:AtleastOne;pcEnfPref:enforced;prefGrMemb:include;shutdown:no;domain:</v>
      </c>
    </row>
    <row r="60" spans="1:19" x14ac:dyDescent="0.25">
      <c r="A60" s="2" t="s">
        <v>90</v>
      </c>
      <c r="B60" s="2" t="s">
        <v>92</v>
      </c>
      <c r="C60" s="2" t="s">
        <v>518</v>
      </c>
      <c r="D60" s="2" t="s">
        <v>97</v>
      </c>
      <c r="E60" s="2" t="s">
        <v>130</v>
      </c>
      <c r="F60" s="2" t="s">
        <v>130</v>
      </c>
      <c r="G60" s="2" t="s">
        <v>186</v>
      </c>
      <c r="H60" s="2"/>
      <c r="I60" s="2"/>
      <c r="J60" s="2" t="s">
        <v>12</v>
      </c>
      <c r="K60" s="2" t="s">
        <v>75</v>
      </c>
      <c r="L60" s="2" t="s">
        <v>20</v>
      </c>
      <c r="M60" s="2" t="s">
        <v>20</v>
      </c>
      <c r="N60" s="2" t="s">
        <v>82</v>
      </c>
      <c r="O60" s="2" t="s">
        <v>10</v>
      </c>
      <c r="P60" s="2" t="s">
        <v>80</v>
      </c>
      <c r="Q60" s="2" t="s">
        <v>20</v>
      </c>
      <c r="R60" s="2"/>
      <c r="S60" s="2" t="str">
        <f t="shared" si="0"/>
        <v>category:network;subCategory:epg;application-profile:juicy_apps;domain:core_phyDom;contractConsume:any_con;contractProvide:any_con;name:vlan907_epg;nameAlias:;descr:;floodOnEncap:enabled;fwdCtrl:proxy-arp;hasMcastSource:no;isAttrBasedEPg:no;matchT:AtleastOne;pcEnfPref:enforced;prefGrMemb:include;shutdown:no;domain:</v>
      </c>
    </row>
    <row r="61" spans="1:19" x14ac:dyDescent="0.25">
      <c r="A61" s="2" t="s">
        <v>90</v>
      </c>
      <c r="B61" s="2" t="s">
        <v>92</v>
      </c>
      <c r="C61" s="2" t="s">
        <v>518</v>
      </c>
      <c r="D61" s="2" t="s">
        <v>97</v>
      </c>
      <c r="E61" s="2" t="s">
        <v>130</v>
      </c>
      <c r="F61" s="2" t="s">
        <v>130</v>
      </c>
      <c r="G61" s="2" t="s">
        <v>187</v>
      </c>
      <c r="H61" s="2"/>
      <c r="I61" s="2"/>
      <c r="J61" s="2" t="s">
        <v>12</v>
      </c>
      <c r="K61" s="2" t="s">
        <v>75</v>
      </c>
      <c r="L61" s="2" t="s">
        <v>20</v>
      </c>
      <c r="M61" s="2" t="s">
        <v>20</v>
      </c>
      <c r="N61" s="2" t="s">
        <v>82</v>
      </c>
      <c r="O61" s="2" t="s">
        <v>10</v>
      </c>
      <c r="P61" s="2" t="s">
        <v>80</v>
      </c>
      <c r="Q61" s="2" t="s">
        <v>20</v>
      </c>
      <c r="R61" s="2"/>
      <c r="S61" s="2" t="str">
        <f t="shared" si="0"/>
        <v>category:network;subCategory:epg;application-profile:juicy_apps;domain:core_phyDom;contractConsume:any_con;contractProvide:any_con;name:vlan908_epg;nameAlias:;descr:;floodOnEncap:enabled;fwdCtrl:proxy-arp;hasMcastSource:no;isAttrBasedEPg:no;matchT:AtleastOne;pcEnfPref:enforced;prefGrMemb:include;shutdown:no;domain:</v>
      </c>
    </row>
    <row r="62" spans="1:19" x14ac:dyDescent="0.25">
      <c r="A62" s="2" t="s">
        <v>90</v>
      </c>
      <c r="B62" s="2" t="s">
        <v>92</v>
      </c>
      <c r="C62" s="2" t="s">
        <v>518</v>
      </c>
      <c r="D62" s="2" t="s">
        <v>97</v>
      </c>
      <c r="E62" s="2" t="s">
        <v>130</v>
      </c>
      <c r="F62" s="2" t="s">
        <v>130</v>
      </c>
      <c r="G62" s="2" t="s">
        <v>188</v>
      </c>
      <c r="H62" s="2"/>
      <c r="I62" s="2"/>
      <c r="J62" s="2" t="s">
        <v>12</v>
      </c>
      <c r="K62" s="2" t="s">
        <v>75</v>
      </c>
      <c r="L62" s="2" t="s">
        <v>20</v>
      </c>
      <c r="M62" s="2" t="s">
        <v>20</v>
      </c>
      <c r="N62" s="2" t="s">
        <v>82</v>
      </c>
      <c r="O62" s="2" t="s">
        <v>10</v>
      </c>
      <c r="P62" s="2" t="s">
        <v>80</v>
      </c>
      <c r="Q62" s="2" t="s">
        <v>20</v>
      </c>
      <c r="R62" s="2"/>
      <c r="S62" s="2" t="str">
        <f t="shared" si="0"/>
        <v>category:network;subCategory:epg;application-profile:juicy_apps;domain:core_phyDom;contractConsume:any_con;contractProvide:any_con;name:vlan909_epg;nameAlias:;descr:;floodOnEncap:enabled;fwdCtrl:proxy-arp;hasMcastSource:no;isAttrBasedEPg:no;matchT:AtleastOne;pcEnfPref:enforced;prefGrMemb:include;shutdown:no;domain:</v>
      </c>
    </row>
    <row r="63" spans="1:19" x14ac:dyDescent="0.25">
      <c r="A63" s="2" t="s">
        <v>90</v>
      </c>
      <c r="B63" s="2" t="s">
        <v>92</v>
      </c>
      <c r="C63" s="2" t="s">
        <v>518</v>
      </c>
      <c r="D63" s="2" t="s">
        <v>97</v>
      </c>
      <c r="E63" s="2" t="s">
        <v>130</v>
      </c>
      <c r="F63" s="2" t="s">
        <v>130</v>
      </c>
      <c r="G63" s="2" t="s">
        <v>188</v>
      </c>
      <c r="H63" s="2"/>
      <c r="I63" s="2"/>
      <c r="J63" s="2" t="s">
        <v>12</v>
      </c>
      <c r="K63" s="2" t="s">
        <v>75</v>
      </c>
      <c r="L63" s="2" t="s">
        <v>20</v>
      </c>
      <c r="M63" s="2" t="s">
        <v>20</v>
      </c>
      <c r="N63" s="2" t="s">
        <v>82</v>
      </c>
      <c r="O63" s="2" t="s">
        <v>10</v>
      </c>
      <c r="P63" s="2" t="s">
        <v>80</v>
      </c>
      <c r="Q63" s="2" t="s">
        <v>20</v>
      </c>
      <c r="R63" s="2"/>
      <c r="S63" s="2" t="str">
        <f t="shared" si="0"/>
        <v>category:network;subCategory:epg;application-profile:juicy_apps;domain:core_phyDom;contractConsume:any_con;contractProvide:any_con;name:vlan909_epg;nameAlias:;descr:;floodOnEncap:enabled;fwdCtrl:proxy-arp;hasMcastSource:no;isAttrBasedEPg:no;matchT:AtleastOne;pcEnfPref:enforced;prefGrMemb:include;shutdown:no;domain:</v>
      </c>
    </row>
    <row r="64" spans="1:19" x14ac:dyDescent="0.25">
      <c r="A64" s="2" t="s">
        <v>90</v>
      </c>
      <c r="B64" s="2" t="s">
        <v>92</v>
      </c>
      <c r="C64" s="2" t="s">
        <v>518</v>
      </c>
      <c r="D64" s="2" t="s">
        <v>97</v>
      </c>
      <c r="E64" s="2" t="s">
        <v>130</v>
      </c>
      <c r="F64" s="2" t="s">
        <v>130</v>
      </c>
      <c r="G64" s="2" t="s">
        <v>189</v>
      </c>
      <c r="H64" s="2"/>
      <c r="I64" s="2"/>
      <c r="J64" s="2" t="s">
        <v>12</v>
      </c>
      <c r="K64" s="2" t="s">
        <v>75</v>
      </c>
      <c r="L64" s="2" t="s">
        <v>20</v>
      </c>
      <c r="M64" s="2" t="s">
        <v>20</v>
      </c>
      <c r="N64" s="2" t="s">
        <v>82</v>
      </c>
      <c r="O64" s="2" t="s">
        <v>10</v>
      </c>
      <c r="P64" s="2" t="s">
        <v>80</v>
      </c>
      <c r="Q64" s="2" t="s">
        <v>20</v>
      </c>
      <c r="R64" s="2"/>
      <c r="S64" s="2" t="str">
        <f t="shared" si="0"/>
        <v>category:network;subCategory:epg;application-profile:juicy_apps;domain:core_phyDom;contractConsume:any_con;contractProvide:any_con;name:vlan910_epg;nameAlias:;descr:;floodOnEncap:enabled;fwdCtrl:proxy-arp;hasMcastSource:no;isAttrBasedEPg:no;matchT:AtleastOne;pcEnfPref:enforced;prefGrMemb:include;shutdown:no;domain:</v>
      </c>
    </row>
    <row r="65" spans="1:19" x14ac:dyDescent="0.25">
      <c r="A65" s="2" t="s">
        <v>90</v>
      </c>
      <c r="B65" s="2" t="s">
        <v>92</v>
      </c>
      <c r="C65" s="2" t="s">
        <v>518</v>
      </c>
      <c r="D65" s="2" t="s">
        <v>97</v>
      </c>
      <c r="E65" s="2" t="s">
        <v>130</v>
      </c>
      <c r="F65" s="2" t="s">
        <v>130</v>
      </c>
      <c r="G65" s="2" t="s">
        <v>190</v>
      </c>
      <c r="H65" s="2"/>
      <c r="I65" s="2"/>
      <c r="J65" s="2" t="s">
        <v>12</v>
      </c>
      <c r="K65" s="2" t="s">
        <v>75</v>
      </c>
      <c r="L65" s="2" t="s">
        <v>20</v>
      </c>
      <c r="M65" s="2" t="s">
        <v>20</v>
      </c>
      <c r="N65" s="2" t="s">
        <v>82</v>
      </c>
      <c r="O65" s="2" t="s">
        <v>10</v>
      </c>
      <c r="P65" s="2" t="s">
        <v>80</v>
      </c>
      <c r="Q65" s="2" t="s">
        <v>20</v>
      </c>
      <c r="R65" s="2"/>
      <c r="S65" s="2" t="str">
        <f t="shared" si="0"/>
        <v>category:network;subCategory:epg;application-profile:juicy_apps;domain:core_phyDom;contractConsume:any_con;contractProvide:any_con;name:vlan911_epg;nameAlias:;descr:;floodOnEncap:enabled;fwdCtrl:proxy-arp;hasMcastSource:no;isAttrBasedEPg:no;matchT:AtleastOne;pcEnfPref:enforced;prefGrMemb:include;shutdown:no;domain:</v>
      </c>
    </row>
    <row r="66" spans="1:19" x14ac:dyDescent="0.25">
      <c r="A66" s="2" t="s">
        <v>90</v>
      </c>
      <c r="B66" s="2" t="s">
        <v>92</v>
      </c>
      <c r="C66" s="2" t="s">
        <v>518</v>
      </c>
      <c r="D66" s="2" t="s">
        <v>97</v>
      </c>
      <c r="E66" s="2" t="s">
        <v>130</v>
      </c>
      <c r="F66" s="2" t="s">
        <v>130</v>
      </c>
      <c r="G66" s="2" t="s">
        <v>191</v>
      </c>
      <c r="H66" s="2"/>
      <c r="I66" s="2"/>
      <c r="J66" s="2" t="s">
        <v>12</v>
      </c>
      <c r="K66" s="2" t="s">
        <v>75</v>
      </c>
      <c r="L66" s="2" t="s">
        <v>20</v>
      </c>
      <c r="M66" s="2" t="s">
        <v>20</v>
      </c>
      <c r="N66" s="2" t="s">
        <v>82</v>
      </c>
      <c r="O66" s="2" t="s">
        <v>10</v>
      </c>
      <c r="P66" s="2" t="s">
        <v>80</v>
      </c>
      <c r="Q66" s="2" t="s">
        <v>20</v>
      </c>
      <c r="R66" s="2"/>
      <c r="S66" s="2" t="str">
        <f t="shared" si="0"/>
        <v>category:network;subCategory:epg;application-profile:juicy_apps;domain:core_phyDom;contractConsume:any_con;contractProvide:any_con;name:vlan912_epg;nameAlias:;descr:;floodOnEncap:enabled;fwdCtrl:proxy-arp;hasMcastSource:no;isAttrBasedEPg:no;matchT:AtleastOne;pcEnfPref:enforced;prefGrMemb:include;shutdown:no;domain:</v>
      </c>
    </row>
  </sheetData>
  <autoFilter ref="A1:S5" xr:uid="{C5B9745A-F962-42A5-BCF2-D7EE2F89A115}"/>
  <phoneticPr fontId="2" type="noConversion"/>
  <pageMargins left="0.7" right="0.7" top="0.75" bottom="0.75" header="0.3" footer="0.3"/>
  <pageSetup paperSize="9"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97A36-98E1-47C9-ADE5-ED41B22C109A}">
  <sheetPr>
    <tabColor theme="9" tint="0.59999389629810485"/>
  </sheetPr>
  <dimension ref="A1:AB72"/>
  <sheetViews>
    <sheetView topLeftCell="A31" zoomScale="85" zoomScaleNormal="85" workbookViewId="0">
      <selection activeCell="P18" sqref="P18"/>
    </sheetView>
  </sheetViews>
  <sheetFormatPr defaultRowHeight="15" x14ac:dyDescent="0.25"/>
  <cols>
    <col min="1" max="1" width="11" bestFit="1" customWidth="1"/>
    <col min="2" max="2" width="17.85546875" customWidth="1"/>
    <col min="3" max="3" width="19.85546875" customWidth="1"/>
    <col min="4" max="4" width="14.28515625" customWidth="1"/>
    <col min="5" max="5" width="13.85546875" customWidth="1"/>
    <col min="6" max="6" width="14" customWidth="1"/>
    <col min="7" max="7" width="12.5703125" bestFit="1" customWidth="1"/>
    <col min="8" max="8" width="8.140625" bestFit="1" customWidth="1"/>
    <col min="9" max="9" width="7.7109375" bestFit="1" customWidth="1"/>
    <col min="10" max="10" width="12.5703125" bestFit="1" customWidth="1"/>
    <col min="11" max="11" width="15.85546875" bestFit="1" customWidth="1"/>
    <col min="12" max="12" width="12.42578125" bestFit="1" customWidth="1"/>
    <col min="13" max="13" width="14.5703125" bestFit="1" customWidth="1"/>
    <col min="14" max="14" width="15" bestFit="1" customWidth="1"/>
    <col min="15" max="15" width="23.28515625" customWidth="1"/>
    <col min="16" max="16" width="8.85546875" bestFit="1" customWidth="1"/>
    <col min="17" max="17" width="10.140625" bestFit="1" customWidth="1"/>
    <col min="18" max="18" width="22.140625" bestFit="1" customWidth="1"/>
    <col min="19" max="19" width="19.5703125" customWidth="1"/>
    <col min="20" max="20" width="26" bestFit="1" customWidth="1"/>
    <col min="21" max="21" width="19.140625" bestFit="1" customWidth="1"/>
    <col min="22" max="22" width="12.5703125" bestFit="1" customWidth="1"/>
    <col min="23" max="23" width="24.85546875" customWidth="1"/>
    <col min="24" max="24" width="17.85546875" customWidth="1"/>
    <col min="25" max="25" width="19.28515625" bestFit="1" customWidth="1"/>
    <col min="26" max="26" width="13.5703125" bestFit="1" customWidth="1"/>
    <col min="27" max="27" width="16.7109375" bestFit="1" customWidth="1"/>
    <col min="28" max="28" width="101.85546875" customWidth="1"/>
  </cols>
  <sheetData>
    <row r="1" spans="1:28" x14ac:dyDescent="0.25">
      <c r="A1" s="3" t="s">
        <v>101</v>
      </c>
      <c r="B1" s="3" t="s">
        <v>91</v>
      </c>
      <c r="C1" s="3" t="s">
        <v>92</v>
      </c>
      <c r="D1" s="3" t="s">
        <v>103</v>
      </c>
      <c r="E1" s="3" t="s">
        <v>13</v>
      </c>
      <c r="F1" s="3" t="s">
        <v>0</v>
      </c>
      <c r="G1" s="3" t="s">
        <v>3</v>
      </c>
      <c r="H1" s="3" t="s">
        <v>4</v>
      </c>
      <c r="I1" s="3" t="s">
        <v>1</v>
      </c>
      <c r="J1" s="3" t="s">
        <v>37</v>
      </c>
      <c r="K1" s="3" t="s">
        <v>38</v>
      </c>
      <c r="L1" s="3" t="s">
        <v>40</v>
      </c>
      <c r="M1" s="3" t="s">
        <v>42</v>
      </c>
      <c r="N1" s="3" t="s">
        <v>43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30</v>
      </c>
      <c r="X1" s="3" t="s">
        <v>31</v>
      </c>
      <c r="Y1" s="3" t="s">
        <v>33</v>
      </c>
      <c r="Z1" s="3" t="s">
        <v>34</v>
      </c>
      <c r="AA1" s="3" t="s">
        <v>35</v>
      </c>
      <c r="AB1" s="3" t="s">
        <v>100</v>
      </c>
    </row>
    <row r="2" spans="1:28" x14ac:dyDescent="0.25">
      <c r="A2" s="2" t="s">
        <v>90</v>
      </c>
      <c r="B2" s="2" t="s">
        <v>465</v>
      </c>
      <c r="C2" s="2" t="s">
        <v>131</v>
      </c>
      <c r="D2" s="2" t="s">
        <v>104</v>
      </c>
      <c r="E2" s="2" t="s">
        <v>99</v>
      </c>
      <c r="F2" s="2" t="s">
        <v>192</v>
      </c>
      <c r="G2" s="2"/>
      <c r="H2" s="2"/>
      <c r="I2" s="2" t="s">
        <v>36</v>
      </c>
      <c r="J2" s="2" t="s">
        <v>29</v>
      </c>
      <c r="K2" s="2" t="s">
        <v>39</v>
      </c>
      <c r="L2" s="2" t="s">
        <v>41</v>
      </c>
      <c r="M2" s="2" t="s">
        <v>41</v>
      </c>
      <c r="N2" s="2" t="s">
        <v>44</v>
      </c>
      <c r="O2" s="2" t="s">
        <v>20</v>
      </c>
      <c r="P2" s="2" t="s">
        <v>29</v>
      </c>
      <c r="Q2" s="2" t="s">
        <v>20</v>
      </c>
      <c r="R2" s="2"/>
      <c r="S2" s="2" t="s">
        <v>29</v>
      </c>
      <c r="T2" s="2" t="s">
        <v>20</v>
      </c>
      <c r="U2" s="2" t="s">
        <v>20</v>
      </c>
      <c r="V2" s="2" t="s">
        <v>29</v>
      </c>
      <c r="W2" s="2" t="s">
        <v>29</v>
      </c>
      <c r="X2" s="2" t="s">
        <v>32</v>
      </c>
      <c r="Y2" s="2" t="s">
        <v>396</v>
      </c>
      <c r="Z2" s="2" t="s">
        <v>29</v>
      </c>
      <c r="AA2" s="2" t="s">
        <v>48</v>
      </c>
      <c r="AB2" s="2" t="str">
        <f>CONCATENATE($A$1,":",A2,";",$B$1,":",B2,";",$C$1,":",C2,";",$D$1,":",D2,";",$E$1,":",E2,";",$F$1,":",F2,";",$G$1,":",G2,";",$H$1,":",H2,";",$I$1,":",I2,";",$J$1,":",J2,";",$K$1,":",K2,";",$L$1,":",L2,";",$M$1,":",M2,";",$N$1,":",N2,";",$O$1,":",O2,";",$P$1,":",P2,";",$Q$1,":",Q2,";",$R$1,":",R2,";",$S$1,":",S2,";",$T$1,":",T2,";",$U$1,":",U2,";",$V$1,":",V2,";",$W$1,":",W2,";",$X$1,":",X2,";",$Y$1,":",SUBSTITUTE(Y2,":","-"),";",$Z$1,":",Z2,";",$AA$1,":",AA2)</f>
        <v>category:network;subCategory:bridge-domain;epg:vlan401_epg;vrf:core;tenant:RCH;name:vlan401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-10;mcastAllow:yes;multiDstPktAct:bd-flood</v>
      </c>
    </row>
    <row r="3" spans="1:28" x14ac:dyDescent="0.25">
      <c r="A3" s="2" t="s">
        <v>90</v>
      </c>
      <c r="B3" s="2" t="s">
        <v>465</v>
      </c>
      <c r="C3" s="2" t="s">
        <v>132</v>
      </c>
      <c r="D3" s="2" t="s">
        <v>104</v>
      </c>
      <c r="E3" s="2" t="s">
        <v>99</v>
      </c>
      <c r="F3" s="2" t="s">
        <v>193</v>
      </c>
      <c r="G3" s="2"/>
      <c r="H3" s="2"/>
      <c r="I3" s="2" t="s">
        <v>36</v>
      </c>
      <c r="J3" s="2" t="s">
        <v>29</v>
      </c>
      <c r="K3" s="2" t="s">
        <v>41</v>
      </c>
      <c r="L3" s="2" t="s">
        <v>41</v>
      </c>
      <c r="M3" s="2" t="s">
        <v>41</v>
      </c>
      <c r="N3" s="2" t="s">
        <v>44</v>
      </c>
      <c r="O3" s="2" t="s">
        <v>20</v>
      </c>
      <c r="P3" s="2" t="s">
        <v>29</v>
      </c>
      <c r="Q3" s="2" t="s">
        <v>20</v>
      </c>
      <c r="R3" s="2"/>
      <c r="S3" s="2" t="s">
        <v>29</v>
      </c>
      <c r="T3" s="2" t="s">
        <v>20</v>
      </c>
      <c r="U3" s="2" t="s">
        <v>20</v>
      </c>
      <c r="V3" s="2" t="s">
        <v>29</v>
      </c>
      <c r="W3" s="2" t="s">
        <v>29</v>
      </c>
      <c r="X3" s="2" t="s">
        <v>32</v>
      </c>
      <c r="Y3" s="2" t="s">
        <v>397</v>
      </c>
      <c r="Z3" s="2" t="s">
        <v>29</v>
      </c>
      <c r="AA3" s="2" t="s">
        <v>48</v>
      </c>
      <c r="AB3" s="2" t="str">
        <f t="shared" ref="AB3:AB66" si="0">CONCATENATE($A$1,":",A3,";",$B$1,":",B3,";",$C$1,":",C3,";",$D$1,":",D3,";",$E$1,":",E3,";",$F$1,":",F3,";",$G$1,":",G3,";",$H$1,":",H3,";",$I$1,":",I3,";",$J$1,":",J3,";",$K$1,":",K3,";",$L$1,":",L3,";",$M$1,":",M3,";",$N$1,":",N3,";",$O$1,":",O3,";",$P$1,":",P3,";",$Q$1,":",Q3,";",$R$1,":",R3,";",$S$1,":",S3,";",$T$1,":",T3,";",$U$1,":",U3,";",$V$1,":",V3,";",$W$1,":",W3,";",$X$1,":",X3,";",$Y$1,":",SUBSTITUTE(Y3,":","-"),";",$Z$1,":",Z3,";",$AA$1,":",AA3)</f>
        <v>category:network;subCategory:bridge-domain;epg:vlan402_epg;vrf:core;tenant:RCH;name:vlan402_bd;nameAlias:;descr:;type:regular;unicastRoute:yes;unkMacUcastAct:flood;unkMcastAct:flood;v6unkMcastAct:flood;vmac:not-applicable;OptimizeWanBandwidth:no;arpFlood:yes;epClear:no;epMoveDetectMode:;hostBasedRouting:yes;intersiteBumTrafficAllow:no;intersiteL2Stretch:no;ipLearning:yes;limitIpLearnToSubnets:yes;llAddr:::;mac:00-22-BD-F8-00-11;mcastAllow:yes;multiDstPktAct:bd-flood</v>
      </c>
    </row>
    <row r="4" spans="1:28" x14ac:dyDescent="0.25">
      <c r="A4" s="2" t="s">
        <v>90</v>
      </c>
      <c r="B4" s="2" t="s">
        <v>465</v>
      </c>
      <c r="C4" s="2" t="s">
        <v>102</v>
      </c>
      <c r="D4" s="2" t="s">
        <v>104</v>
      </c>
      <c r="E4" s="2" t="s">
        <v>99</v>
      </c>
      <c r="F4" s="2" t="s">
        <v>194</v>
      </c>
      <c r="G4" s="2"/>
      <c r="H4" s="2"/>
      <c r="I4" s="2" t="s">
        <v>36</v>
      </c>
      <c r="J4" s="2" t="s">
        <v>29</v>
      </c>
      <c r="K4" s="2" t="s">
        <v>39</v>
      </c>
      <c r="L4" s="2" t="s">
        <v>41</v>
      </c>
      <c r="M4" s="2" t="s">
        <v>41</v>
      </c>
      <c r="N4" s="2" t="s">
        <v>44</v>
      </c>
      <c r="O4" s="2" t="s">
        <v>20</v>
      </c>
      <c r="P4" s="2" t="s">
        <v>29</v>
      </c>
      <c r="Q4" s="2" t="s">
        <v>20</v>
      </c>
      <c r="R4" s="2"/>
      <c r="S4" s="2" t="s">
        <v>29</v>
      </c>
      <c r="T4" s="2" t="s">
        <v>20</v>
      </c>
      <c r="U4" s="2" t="s">
        <v>20</v>
      </c>
      <c r="V4" s="2" t="s">
        <v>29</v>
      </c>
      <c r="W4" s="2" t="s">
        <v>29</v>
      </c>
      <c r="X4" s="2" t="s">
        <v>32</v>
      </c>
      <c r="Y4" s="2" t="s">
        <v>398</v>
      </c>
      <c r="Z4" s="2" t="s">
        <v>29</v>
      </c>
      <c r="AA4" s="2" t="s">
        <v>48</v>
      </c>
      <c r="AB4" s="2" t="str">
        <f t="shared" si="0"/>
        <v>category:network;subCategory:bridge-domain;epg:vlan403_epg;vrf:core;tenant:RCH;name:vlan403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-12;mcastAllow:yes;multiDstPktAct:bd-flood</v>
      </c>
    </row>
    <row r="5" spans="1:28" x14ac:dyDescent="0.25">
      <c r="A5" s="2" t="s">
        <v>90</v>
      </c>
      <c r="B5" s="2" t="s">
        <v>465</v>
      </c>
      <c r="C5" s="2" t="s">
        <v>105</v>
      </c>
      <c r="D5" s="2" t="s">
        <v>104</v>
      </c>
      <c r="E5" s="2" t="s">
        <v>99</v>
      </c>
      <c r="F5" s="2" t="s">
        <v>195</v>
      </c>
      <c r="G5" s="2"/>
      <c r="H5" s="2"/>
      <c r="I5" s="2" t="s">
        <v>36</v>
      </c>
      <c r="J5" s="2" t="s">
        <v>29</v>
      </c>
      <c r="K5" s="2" t="s">
        <v>39</v>
      </c>
      <c r="L5" s="2" t="s">
        <v>41</v>
      </c>
      <c r="M5" s="2" t="s">
        <v>41</v>
      </c>
      <c r="N5" s="2" t="s">
        <v>44</v>
      </c>
      <c r="O5" s="2" t="s">
        <v>20</v>
      </c>
      <c r="P5" s="2" t="s">
        <v>29</v>
      </c>
      <c r="Q5" s="2" t="s">
        <v>20</v>
      </c>
      <c r="R5" s="2"/>
      <c r="S5" s="2" t="s">
        <v>29</v>
      </c>
      <c r="T5" s="2" t="s">
        <v>20</v>
      </c>
      <c r="U5" s="2" t="s">
        <v>20</v>
      </c>
      <c r="V5" s="2" t="s">
        <v>29</v>
      </c>
      <c r="W5" s="2" t="s">
        <v>29</v>
      </c>
      <c r="X5" s="2" t="s">
        <v>32</v>
      </c>
      <c r="Y5" s="2" t="s">
        <v>399</v>
      </c>
      <c r="Z5" s="2" t="s">
        <v>29</v>
      </c>
      <c r="AA5" s="2" t="s">
        <v>48</v>
      </c>
      <c r="AB5" s="2" t="str">
        <f t="shared" si="0"/>
        <v>category:network;subCategory:bridge-domain;epg:vlan404_epg;vrf:core;tenant:RCH;name:vlan404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-13;mcastAllow:yes;multiDstPktAct:bd-flood</v>
      </c>
    </row>
    <row r="6" spans="1:28" x14ac:dyDescent="0.25">
      <c r="A6" s="2" t="s">
        <v>90</v>
      </c>
      <c r="B6" s="2" t="s">
        <v>465</v>
      </c>
      <c r="C6" s="2" t="s">
        <v>106</v>
      </c>
      <c r="D6" s="2" t="s">
        <v>104</v>
      </c>
      <c r="E6" s="2" t="s">
        <v>99</v>
      </c>
      <c r="F6" s="2" t="s">
        <v>196</v>
      </c>
      <c r="G6" s="2"/>
      <c r="H6" s="2"/>
      <c r="I6" s="2" t="s">
        <v>36</v>
      </c>
      <c r="J6" s="2" t="s">
        <v>29</v>
      </c>
      <c r="K6" s="2" t="s">
        <v>39</v>
      </c>
      <c r="L6" s="2" t="s">
        <v>41</v>
      </c>
      <c r="M6" s="2" t="s">
        <v>41</v>
      </c>
      <c r="N6" s="2" t="s">
        <v>44</v>
      </c>
      <c r="O6" s="2" t="s">
        <v>20</v>
      </c>
      <c r="P6" s="2" t="s">
        <v>29</v>
      </c>
      <c r="Q6" s="2" t="s">
        <v>20</v>
      </c>
      <c r="R6" s="2"/>
      <c r="S6" s="2" t="s">
        <v>29</v>
      </c>
      <c r="T6" s="2" t="s">
        <v>20</v>
      </c>
      <c r="U6" s="2" t="s">
        <v>20</v>
      </c>
      <c r="V6" s="2" t="s">
        <v>29</v>
      </c>
      <c r="W6" s="2" t="s">
        <v>29</v>
      </c>
      <c r="X6" s="2" t="s">
        <v>32</v>
      </c>
      <c r="Y6" s="2" t="s">
        <v>400</v>
      </c>
      <c r="Z6" s="2" t="s">
        <v>29</v>
      </c>
      <c r="AA6" s="2" t="s">
        <v>48</v>
      </c>
      <c r="AB6" s="2" t="str">
        <f t="shared" si="0"/>
        <v>category:network;subCategory:bridge-domain;epg:vlan405_epg;vrf:core;tenant:RCH;name:vlan405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-14;mcastAllow:yes;multiDstPktAct:bd-flood</v>
      </c>
    </row>
    <row r="7" spans="1:28" x14ac:dyDescent="0.25">
      <c r="A7" s="2" t="s">
        <v>90</v>
      </c>
      <c r="B7" s="2" t="s">
        <v>465</v>
      </c>
      <c r="C7" s="2" t="s">
        <v>133</v>
      </c>
      <c r="D7" s="2" t="s">
        <v>104</v>
      </c>
      <c r="E7" s="2" t="s">
        <v>99</v>
      </c>
      <c r="F7" s="2" t="s">
        <v>197</v>
      </c>
      <c r="G7" s="2"/>
      <c r="H7" s="2"/>
      <c r="I7" s="2" t="s">
        <v>36</v>
      </c>
      <c r="J7" s="2" t="s">
        <v>29</v>
      </c>
      <c r="K7" s="2" t="s">
        <v>39</v>
      </c>
      <c r="L7" s="2" t="s">
        <v>41</v>
      </c>
      <c r="M7" s="2" t="s">
        <v>41</v>
      </c>
      <c r="N7" s="2" t="s">
        <v>44</v>
      </c>
      <c r="O7" s="2" t="s">
        <v>20</v>
      </c>
      <c r="P7" s="2" t="s">
        <v>29</v>
      </c>
      <c r="Q7" s="2" t="s">
        <v>20</v>
      </c>
      <c r="R7" s="2"/>
      <c r="S7" s="2" t="s">
        <v>29</v>
      </c>
      <c r="T7" s="2" t="s">
        <v>20</v>
      </c>
      <c r="U7" s="2" t="s">
        <v>20</v>
      </c>
      <c r="V7" s="2" t="s">
        <v>29</v>
      </c>
      <c r="W7" s="2" t="s">
        <v>29</v>
      </c>
      <c r="X7" s="2" t="s">
        <v>32</v>
      </c>
      <c r="Y7" s="2" t="s">
        <v>401</v>
      </c>
      <c r="Z7" s="2" t="s">
        <v>29</v>
      </c>
      <c r="AA7" s="2" t="s">
        <v>48</v>
      </c>
      <c r="AB7" s="2" t="str">
        <f t="shared" si="0"/>
        <v>category:network;subCategory:bridge-domain;epg:vlan406_epg;vrf:core;tenant:RCH;name:vlan406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-15;mcastAllow:yes;multiDstPktAct:bd-flood</v>
      </c>
    </row>
    <row r="8" spans="1:28" x14ac:dyDescent="0.25">
      <c r="A8" s="2" t="s">
        <v>90</v>
      </c>
      <c r="B8" s="2" t="s">
        <v>465</v>
      </c>
      <c r="C8" s="2" t="s">
        <v>134</v>
      </c>
      <c r="D8" s="2" t="s">
        <v>104</v>
      </c>
      <c r="E8" s="2" t="s">
        <v>99</v>
      </c>
      <c r="F8" s="2" t="s">
        <v>198</v>
      </c>
      <c r="G8" s="2"/>
      <c r="H8" s="2"/>
      <c r="I8" s="2" t="s">
        <v>36</v>
      </c>
      <c r="J8" s="2" t="s">
        <v>29</v>
      </c>
      <c r="K8" s="2" t="s">
        <v>39</v>
      </c>
      <c r="L8" s="2" t="s">
        <v>41</v>
      </c>
      <c r="M8" s="2" t="s">
        <v>41</v>
      </c>
      <c r="N8" s="2" t="s">
        <v>44</v>
      </c>
      <c r="O8" s="2" t="s">
        <v>20</v>
      </c>
      <c r="P8" s="2" t="s">
        <v>29</v>
      </c>
      <c r="Q8" s="2" t="s">
        <v>20</v>
      </c>
      <c r="R8" s="2"/>
      <c r="S8" s="2" t="s">
        <v>29</v>
      </c>
      <c r="T8" s="2" t="s">
        <v>20</v>
      </c>
      <c r="U8" s="2" t="s">
        <v>20</v>
      </c>
      <c r="V8" s="2" t="s">
        <v>29</v>
      </c>
      <c r="W8" s="2" t="s">
        <v>29</v>
      </c>
      <c r="X8" s="2" t="s">
        <v>32</v>
      </c>
      <c r="Y8" s="2" t="s">
        <v>402</v>
      </c>
      <c r="Z8" s="2" t="s">
        <v>29</v>
      </c>
      <c r="AA8" s="2" t="s">
        <v>48</v>
      </c>
      <c r="AB8" s="2" t="str">
        <f t="shared" si="0"/>
        <v>category:network;subCategory:bridge-domain;epg:vlan407_epg;vrf:core;tenant:RCH;name:vlan407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-16;mcastAllow:yes;multiDstPktAct:bd-flood</v>
      </c>
    </row>
    <row r="9" spans="1:28" x14ac:dyDescent="0.25">
      <c r="A9" s="2" t="s">
        <v>90</v>
      </c>
      <c r="B9" s="2" t="s">
        <v>465</v>
      </c>
      <c r="C9" s="2" t="s">
        <v>135</v>
      </c>
      <c r="D9" s="2" t="s">
        <v>104</v>
      </c>
      <c r="E9" s="2" t="s">
        <v>99</v>
      </c>
      <c r="F9" s="2" t="s">
        <v>199</v>
      </c>
      <c r="G9" s="2"/>
      <c r="H9" s="2"/>
      <c r="I9" s="2" t="s">
        <v>36</v>
      </c>
      <c r="J9" s="2" t="s">
        <v>29</v>
      </c>
      <c r="K9" s="2" t="s">
        <v>39</v>
      </c>
      <c r="L9" s="2" t="s">
        <v>41</v>
      </c>
      <c r="M9" s="2" t="s">
        <v>41</v>
      </c>
      <c r="N9" s="2" t="s">
        <v>44</v>
      </c>
      <c r="O9" s="2" t="s">
        <v>20</v>
      </c>
      <c r="P9" s="2" t="s">
        <v>29</v>
      </c>
      <c r="Q9" s="2" t="s">
        <v>20</v>
      </c>
      <c r="R9" s="2"/>
      <c r="S9" s="2" t="s">
        <v>29</v>
      </c>
      <c r="T9" s="2" t="s">
        <v>20</v>
      </c>
      <c r="U9" s="2" t="s">
        <v>20</v>
      </c>
      <c r="V9" s="2" t="s">
        <v>29</v>
      </c>
      <c r="W9" s="2" t="s">
        <v>29</v>
      </c>
      <c r="X9" s="2" t="s">
        <v>32</v>
      </c>
      <c r="Y9" s="2" t="s">
        <v>403</v>
      </c>
      <c r="Z9" s="2" t="s">
        <v>29</v>
      </c>
      <c r="AA9" s="2" t="s">
        <v>48</v>
      </c>
      <c r="AB9" s="2" t="str">
        <f t="shared" si="0"/>
        <v>category:network;subCategory:bridge-domain;epg:vlan408_epg;vrf:core;tenant:RCH;name:vlan408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-17;mcastAllow:yes;multiDstPktAct:bd-flood</v>
      </c>
    </row>
    <row r="10" spans="1:28" x14ac:dyDescent="0.25">
      <c r="A10" s="2" t="s">
        <v>90</v>
      </c>
      <c r="B10" s="2" t="s">
        <v>465</v>
      </c>
      <c r="C10" s="2" t="s">
        <v>136</v>
      </c>
      <c r="D10" s="2" t="s">
        <v>104</v>
      </c>
      <c r="E10" s="2" t="s">
        <v>99</v>
      </c>
      <c r="F10" s="2" t="s">
        <v>200</v>
      </c>
      <c r="G10" s="2"/>
      <c r="H10" s="2"/>
      <c r="I10" s="2" t="s">
        <v>36</v>
      </c>
      <c r="J10" s="2" t="s">
        <v>29</v>
      </c>
      <c r="K10" s="2" t="s">
        <v>39</v>
      </c>
      <c r="L10" s="2" t="s">
        <v>41</v>
      </c>
      <c r="M10" s="2" t="s">
        <v>41</v>
      </c>
      <c r="N10" s="2" t="s">
        <v>44</v>
      </c>
      <c r="O10" s="2" t="s">
        <v>20</v>
      </c>
      <c r="P10" s="2" t="s">
        <v>29</v>
      </c>
      <c r="Q10" s="2" t="s">
        <v>20</v>
      </c>
      <c r="R10" s="2"/>
      <c r="S10" s="2" t="s">
        <v>29</v>
      </c>
      <c r="T10" s="2" t="s">
        <v>20</v>
      </c>
      <c r="U10" s="2" t="s">
        <v>20</v>
      </c>
      <c r="V10" s="2" t="s">
        <v>29</v>
      </c>
      <c r="W10" s="2" t="s">
        <v>29</v>
      </c>
      <c r="X10" s="2" t="s">
        <v>32</v>
      </c>
      <c r="Y10" s="2" t="s">
        <v>404</v>
      </c>
      <c r="Z10" s="2" t="s">
        <v>29</v>
      </c>
      <c r="AA10" s="2" t="s">
        <v>48</v>
      </c>
      <c r="AB10" s="2" t="str">
        <f t="shared" si="0"/>
        <v>category:network;subCategory:bridge-domain;epg:vlan409_epg;vrf:core;tenant:RCH;name:vlan409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-18;mcastAllow:yes;multiDstPktAct:bd-flood</v>
      </c>
    </row>
    <row r="11" spans="1:28" x14ac:dyDescent="0.25">
      <c r="A11" s="2" t="s">
        <v>90</v>
      </c>
      <c r="B11" s="2" t="s">
        <v>465</v>
      </c>
      <c r="C11" s="2" t="s">
        <v>137</v>
      </c>
      <c r="D11" s="2" t="s">
        <v>104</v>
      </c>
      <c r="E11" s="2" t="s">
        <v>99</v>
      </c>
      <c r="F11" s="2" t="s">
        <v>201</v>
      </c>
      <c r="G11" s="2"/>
      <c r="H11" s="2"/>
      <c r="I11" s="2" t="s">
        <v>36</v>
      </c>
      <c r="J11" s="2" t="s">
        <v>29</v>
      </c>
      <c r="K11" s="2" t="s">
        <v>39</v>
      </c>
      <c r="L11" s="2" t="s">
        <v>41</v>
      </c>
      <c r="M11" s="2" t="s">
        <v>41</v>
      </c>
      <c r="N11" s="2" t="s">
        <v>44</v>
      </c>
      <c r="O11" s="2" t="s">
        <v>20</v>
      </c>
      <c r="P11" s="2" t="s">
        <v>29</v>
      </c>
      <c r="Q11" s="2" t="s">
        <v>20</v>
      </c>
      <c r="R11" s="2"/>
      <c r="S11" s="2" t="s">
        <v>29</v>
      </c>
      <c r="T11" s="2" t="s">
        <v>20</v>
      </c>
      <c r="U11" s="2" t="s">
        <v>20</v>
      </c>
      <c r="V11" s="2" t="s">
        <v>29</v>
      </c>
      <c r="W11" s="2" t="s">
        <v>29</v>
      </c>
      <c r="X11" s="2" t="s">
        <v>32</v>
      </c>
      <c r="Y11" s="2" t="s">
        <v>405</v>
      </c>
      <c r="Z11" s="2" t="s">
        <v>29</v>
      </c>
      <c r="AA11" s="2" t="s">
        <v>48</v>
      </c>
      <c r="AB11" s="2" t="str">
        <f>CONCATENATE($A$1,":",A11,";",$B$1,":",B11,";",$C$1,":",C11,";",$D$1,":",D11,";",$E$1,":",E11,";",$F$1,":",F11,";",$G$1,":",G11,";",$H$1,":",H11,";",$I$1,":",I11,";",$J$1,":",J11,";",$K$1,":",K11,";",$L$1,":",L11,";",$M$1,":",M11,";",$N$1,":",N11,";",$O$1,":",O11,";",$P$1,":",P11,";",$Q$1,":",Q11,";",$R$1,":",R11,";",$S$1,":",S11,";",$T$1,":",T11,";",$U$1,":",U11,";",$V$1,":",V11,";",$W$1,":",W11,";",$X$1,":",X11,";",$Y$1,":",SUBSTITUTE(Y11,":","-"),";",$Z$1,":",Z11,";",$AA$1,":",AA11)</f>
        <v>category:network;subCategory:bridge-domain;epg:vlan410_epg;vrf:core;tenant:RCH;name:vlan410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-19;mcastAllow:yes;multiDstPktAct:bd-flood</v>
      </c>
    </row>
    <row r="12" spans="1:28" x14ac:dyDescent="0.25">
      <c r="A12" s="2" t="s">
        <v>90</v>
      </c>
      <c r="B12" s="2" t="s">
        <v>465</v>
      </c>
      <c r="C12" s="2" t="s">
        <v>138</v>
      </c>
      <c r="D12" s="2" t="s">
        <v>104</v>
      </c>
      <c r="E12" s="2" t="s">
        <v>99</v>
      </c>
      <c r="F12" s="2" t="s">
        <v>202</v>
      </c>
      <c r="G12" s="2"/>
      <c r="H12" s="2"/>
      <c r="I12" s="2" t="s">
        <v>36</v>
      </c>
      <c r="J12" s="2" t="s">
        <v>29</v>
      </c>
      <c r="K12" s="2" t="s">
        <v>39</v>
      </c>
      <c r="L12" s="2" t="s">
        <v>41</v>
      </c>
      <c r="M12" s="2" t="s">
        <v>41</v>
      </c>
      <c r="N12" s="2" t="s">
        <v>44</v>
      </c>
      <c r="O12" s="2" t="s">
        <v>20</v>
      </c>
      <c r="P12" s="2" t="s">
        <v>29</v>
      </c>
      <c r="Q12" s="2" t="s">
        <v>20</v>
      </c>
      <c r="R12" s="2"/>
      <c r="S12" s="2" t="s">
        <v>29</v>
      </c>
      <c r="T12" s="2" t="s">
        <v>20</v>
      </c>
      <c r="U12" s="2" t="s">
        <v>20</v>
      </c>
      <c r="V12" s="2" t="s">
        <v>29</v>
      </c>
      <c r="W12" s="2" t="s">
        <v>29</v>
      </c>
      <c r="X12" s="2" t="s">
        <v>32</v>
      </c>
      <c r="Y12" s="2" t="s">
        <v>406</v>
      </c>
      <c r="Z12" s="2" t="s">
        <v>29</v>
      </c>
      <c r="AA12" s="2" t="s">
        <v>48</v>
      </c>
      <c r="AB12" s="2" t="str">
        <f t="shared" si="0"/>
        <v>category:network;subCategory:bridge-domain;epg:vlan411_epg;vrf:core;tenant:RCH;name:vlan411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-20;mcastAllow:yes;multiDstPktAct:bd-flood</v>
      </c>
    </row>
    <row r="13" spans="1:28" x14ac:dyDescent="0.25">
      <c r="A13" s="2" t="s">
        <v>90</v>
      </c>
      <c r="B13" s="2" t="s">
        <v>465</v>
      </c>
      <c r="C13" s="2" t="s">
        <v>139</v>
      </c>
      <c r="D13" s="2" t="s">
        <v>104</v>
      </c>
      <c r="E13" s="2" t="s">
        <v>99</v>
      </c>
      <c r="F13" s="2" t="s">
        <v>203</v>
      </c>
      <c r="G13" s="2"/>
      <c r="H13" s="2"/>
      <c r="I13" s="2" t="s">
        <v>36</v>
      </c>
      <c r="J13" s="2" t="s">
        <v>29</v>
      </c>
      <c r="K13" s="2" t="s">
        <v>39</v>
      </c>
      <c r="L13" s="2" t="s">
        <v>41</v>
      </c>
      <c r="M13" s="2" t="s">
        <v>41</v>
      </c>
      <c r="N13" s="2" t="s">
        <v>44</v>
      </c>
      <c r="O13" s="2" t="s">
        <v>20</v>
      </c>
      <c r="P13" s="2" t="s">
        <v>29</v>
      </c>
      <c r="Q13" s="2" t="s">
        <v>20</v>
      </c>
      <c r="R13" s="2"/>
      <c r="S13" s="2" t="s">
        <v>29</v>
      </c>
      <c r="T13" s="2" t="s">
        <v>20</v>
      </c>
      <c r="U13" s="2" t="s">
        <v>20</v>
      </c>
      <c r="V13" s="2" t="s">
        <v>29</v>
      </c>
      <c r="W13" s="2" t="s">
        <v>29</v>
      </c>
      <c r="X13" s="2" t="s">
        <v>32</v>
      </c>
      <c r="Y13" s="2" t="s">
        <v>407</v>
      </c>
      <c r="Z13" s="2" t="s">
        <v>29</v>
      </c>
      <c r="AA13" s="2" t="s">
        <v>48</v>
      </c>
      <c r="AB13" s="2" t="str">
        <f t="shared" si="0"/>
        <v>category:network;subCategory:bridge-domain;epg:vlan412_epg;vrf:core;tenant:RCH;name:vlan412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-21;mcastAllow:yes;multiDstPktAct:bd-flood</v>
      </c>
    </row>
    <row r="14" spans="1:28" x14ac:dyDescent="0.25">
      <c r="A14" s="2" t="s">
        <v>90</v>
      </c>
      <c r="B14" s="2" t="s">
        <v>465</v>
      </c>
      <c r="C14" s="2" t="s">
        <v>140</v>
      </c>
      <c r="D14" s="2" t="s">
        <v>104</v>
      </c>
      <c r="E14" s="2" t="s">
        <v>99</v>
      </c>
      <c r="F14" s="2" t="s">
        <v>204</v>
      </c>
      <c r="G14" s="2"/>
      <c r="H14" s="2"/>
      <c r="I14" s="2" t="s">
        <v>36</v>
      </c>
      <c r="J14" s="2" t="s">
        <v>29</v>
      </c>
      <c r="K14" s="2" t="s">
        <v>39</v>
      </c>
      <c r="L14" s="2" t="s">
        <v>41</v>
      </c>
      <c r="M14" s="2" t="s">
        <v>41</v>
      </c>
      <c r="N14" s="2" t="s">
        <v>44</v>
      </c>
      <c r="O14" s="2" t="s">
        <v>20</v>
      </c>
      <c r="P14" s="2" t="s">
        <v>29</v>
      </c>
      <c r="Q14" s="2" t="s">
        <v>20</v>
      </c>
      <c r="R14" s="2"/>
      <c r="S14" s="2" t="s">
        <v>29</v>
      </c>
      <c r="T14" s="2" t="s">
        <v>20</v>
      </c>
      <c r="U14" s="2" t="s">
        <v>20</v>
      </c>
      <c r="V14" s="2" t="s">
        <v>29</v>
      </c>
      <c r="W14" s="2" t="s">
        <v>29</v>
      </c>
      <c r="X14" s="2" t="s">
        <v>32</v>
      </c>
      <c r="Y14" s="2" t="s">
        <v>408</v>
      </c>
      <c r="Z14" s="2" t="s">
        <v>29</v>
      </c>
      <c r="AA14" s="2" t="s">
        <v>48</v>
      </c>
      <c r="AB14" s="2" t="str">
        <f t="shared" si="0"/>
        <v>category:network;subCategory:bridge-domain;epg:vlan413_epg;vrf:core;tenant:RCH;name:vlan413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-22;mcastAllow:yes;multiDstPktAct:bd-flood</v>
      </c>
    </row>
    <row r="15" spans="1:28" x14ac:dyDescent="0.25">
      <c r="A15" s="2" t="s">
        <v>90</v>
      </c>
      <c r="B15" s="2" t="s">
        <v>465</v>
      </c>
      <c r="C15" s="2" t="s">
        <v>141</v>
      </c>
      <c r="D15" s="2" t="s">
        <v>104</v>
      </c>
      <c r="E15" s="2" t="s">
        <v>99</v>
      </c>
      <c r="F15" s="2" t="s">
        <v>205</v>
      </c>
      <c r="G15" s="2"/>
      <c r="H15" s="2"/>
      <c r="I15" s="2" t="s">
        <v>36</v>
      </c>
      <c r="J15" s="2" t="s">
        <v>29</v>
      </c>
      <c r="K15" s="2" t="s">
        <v>39</v>
      </c>
      <c r="L15" s="2" t="s">
        <v>41</v>
      </c>
      <c r="M15" s="2" t="s">
        <v>41</v>
      </c>
      <c r="N15" s="2" t="s">
        <v>44</v>
      </c>
      <c r="O15" s="2" t="s">
        <v>20</v>
      </c>
      <c r="P15" s="2" t="s">
        <v>29</v>
      </c>
      <c r="Q15" s="2" t="s">
        <v>20</v>
      </c>
      <c r="R15" s="2"/>
      <c r="S15" s="2" t="s">
        <v>29</v>
      </c>
      <c r="T15" s="2" t="s">
        <v>20</v>
      </c>
      <c r="U15" s="2" t="s">
        <v>20</v>
      </c>
      <c r="V15" s="2" t="s">
        <v>29</v>
      </c>
      <c r="W15" s="2" t="s">
        <v>29</v>
      </c>
      <c r="X15" s="2" t="s">
        <v>32</v>
      </c>
      <c r="Y15" s="2" t="s">
        <v>409</v>
      </c>
      <c r="Z15" s="2" t="s">
        <v>29</v>
      </c>
      <c r="AA15" s="2" t="s">
        <v>48</v>
      </c>
      <c r="AB15" s="2" t="str">
        <f t="shared" si="0"/>
        <v>category:network;subCategory:bridge-domain;epg:vlan414_epg;vrf:core;tenant:RCH;name:vlan414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-23;mcastAllow:yes;multiDstPktAct:bd-flood</v>
      </c>
    </row>
    <row r="16" spans="1:28" x14ac:dyDescent="0.25">
      <c r="A16" s="2" t="s">
        <v>90</v>
      </c>
      <c r="B16" s="2" t="s">
        <v>465</v>
      </c>
      <c r="C16" s="2" t="s">
        <v>142</v>
      </c>
      <c r="D16" s="2" t="s">
        <v>104</v>
      </c>
      <c r="E16" s="2" t="s">
        <v>99</v>
      </c>
      <c r="F16" s="2" t="s">
        <v>206</v>
      </c>
      <c r="G16" s="2"/>
      <c r="H16" s="2"/>
      <c r="I16" s="2" t="s">
        <v>36</v>
      </c>
      <c r="J16" s="2" t="s">
        <v>29</v>
      </c>
      <c r="K16" s="2" t="s">
        <v>39</v>
      </c>
      <c r="L16" s="2" t="s">
        <v>41</v>
      </c>
      <c r="M16" s="2" t="s">
        <v>41</v>
      </c>
      <c r="N16" s="2" t="s">
        <v>44</v>
      </c>
      <c r="O16" s="2" t="s">
        <v>20</v>
      </c>
      <c r="P16" s="2" t="s">
        <v>29</v>
      </c>
      <c r="Q16" s="2" t="s">
        <v>20</v>
      </c>
      <c r="R16" s="2"/>
      <c r="S16" s="2" t="s">
        <v>29</v>
      </c>
      <c r="T16" s="2" t="s">
        <v>20</v>
      </c>
      <c r="U16" s="2" t="s">
        <v>20</v>
      </c>
      <c r="V16" s="2" t="s">
        <v>29</v>
      </c>
      <c r="W16" s="2" t="s">
        <v>29</v>
      </c>
      <c r="X16" s="2" t="s">
        <v>32</v>
      </c>
      <c r="Y16" s="2" t="s">
        <v>410</v>
      </c>
      <c r="Z16" s="2" t="s">
        <v>29</v>
      </c>
      <c r="AA16" s="2" t="s">
        <v>48</v>
      </c>
      <c r="AB16" s="2" t="str">
        <f t="shared" si="0"/>
        <v>category:network;subCategory:bridge-domain;epg:vlan415_epg;vrf:core;tenant:RCH;name:vlan415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-24;mcastAllow:yes;multiDstPktAct:bd-flood</v>
      </c>
    </row>
    <row r="17" spans="1:28" x14ac:dyDescent="0.25">
      <c r="A17" s="2" t="s">
        <v>90</v>
      </c>
      <c r="B17" s="2" t="s">
        <v>465</v>
      </c>
      <c r="C17" s="2" t="s">
        <v>143</v>
      </c>
      <c r="D17" s="2" t="s">
        <v>104</v>
      </c>
      <c r="E17" s="2" t="s">
        <v>99</v>
      </c>
      <c r="F17" s="2" t="s">
        <v>207</v>
      </c>
      <c r="G17" s="2"/>
      <c r="H17" s="2"/>
      <c r="I17" s="2" t="s">
        <v>36</v>
      </c>
      <c r="J17" s="2" t="s">
        <v>29</v>
      </c>
      <c r="K17" s="2" t="s">
        <v>39</v>
      </c>
      <c r="L17" s="2" t="s">
        <v>41</v>
      </c>
      <c r="M17" s="2" t="s">
        <v>41</v>
      </c>
      <c r="N17" s="2" t="s">
        <v>44</v>
      </c>
      <c r="O17" s="2" t="s">
        <v>20</v>
      </c>
      <c r="P17" s="2" t="s">
        <v>29</v>
      </c>
      <c r="Q17" s="2" t="s">
        <v>20</v>
      </c>
      <c r="R17" s="2"/>
      <c r="S17" s="2" t="s">
        <v>29</v>
      </c>
      <c r="T17" s="2" t="s">
        <v>20</v>
      </c>
      <c r="U17" s="2" t="s">
        <v>20</v>
      </c>
      <c r="V17" s="2" t="s">
        <v>29</v>
      </c>
      <c r="W17" s="2" t="s">
        <v>29</v>
      </c>
      <c r="X17" s="2" t="s">
        <v>32</v>
      </c>
      <c r="Y17" s="2" t="s">
        <v>411</v>
      </c>
      <c r="Z17" s="2" t="s">
        <v>29</v>
      </c>
      <c r="AA17" s="2" t="s">
        <v>48</v>
      </c>
      <c r="AB17" s="2" t="str">
        <f t="shared" si="0"/>
        <v>category:network;subCategory:bridge-domain;epg:vlan416_epg;vrf:core;tenant:RCH;name:vlan416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-25;mcastAllow:yes;multiDstPktAct:bd-flood</v>
      </c>
    </row>
    <row r="18" spans="1:28" x14ac:dyDescent="0.25">
      <c r="A18" s="2" t="s">
        <v>90</v>
      </c>
      <c r="B18" s="2" t="s">
        <v>465</v>
      </c>
      <c r="C18" s="2" t="s">
        <v>144</v>
      </c>
      <c r="D18" s="2" t="s">
        <v>104</v>
      </c>
      <c r="E18" s="2" t="s">
        <v>99</v>
      </c>
      <c r="F18" s="2" t="s">
        <v>208</v>
      </c>
      <c r="G18" s="2"/>
      <c r="H18" s="2"/>
      <c r="I18" s="2" t="s">
        <v>36</v>
      </c>
      <c r="J18" s="2" t="s">
        <v>29</v>
      </c>
      <c r="K18" s="2" t="s">
        <v>39</v>
      </c>
      <c r="L18" s="2" t="s">
        <v>41</v>
      </c>
      <c r="M18" s="2" t="s">
        <v>41</v>
      </c>
      <c r="N18" s="2" t="s">
        <v>44</v>
      </c>
      <c r="O18" s="2" t="s">
        <v>20</v>
      </c>
      <c r="P18" s="2" t="s">
        <v>29</v>
      </c>
      <c r="Q18" s="2" t="s">
        <v>20</v>
      </c>
      <c r="R18" s="2"/>
      <c r="S18" s="2" t="s">
        <v>29</v>
      </c>
      <c r="T18" s="2" t="s">
        <v>20</v>
      </c>
      <c r="U18" s="2" t="s">
        <v>20</v>
      </c>
      <c r="V18" s="2" t="s">
        <v>29</v>
      </c>
      <c r="W18" s="2" t="s">
        <v>29</v>
      </c>
      <c r="X18" s="2" t="s">
        <v>32</v>
      </c>
      <c r="Y18" s="2" t="s">
        <v>412</v>
      </c>
      <c r="Z18" s="2" t="s">
        <v>29</v>
      </c>
      <c r="AA18" s="2" t="s">
        <v>48</v>
      </c>
      <c r="AB18" s="2" t="str">
        <f t="shared" si="0"/>
        <v>category:network;subCategory:bridge-domain;epg:vlan417_epg;vrf:core;tenant:RCH;name:vlan417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-26;mcastAllow:yes;multiDstPktAct:bd-flood</v>
      </c>
    </row>
    <row r="19" spans="1:28" x14ac:dyDescent="0.25">
      <c r="A19" s="2" t="s">
        <v>90</v>
      </c>
      <c r="B19" s="2" t="s">
        <v>465</v>
      </c>
      <c r="C19" s="2" t="s">
        <v>145</v>
      </c>
      <c r="D19" s="2" t="s">
        <v>104</v>
      </c>
      <c r="E19" s="2" t="s">
        <v>99</v>
      </c>
      <c r="F19" s="2" t="s">
        <v>209</v>
      </c>
      <c r="G19" s="2"/>
      <c r="H19" s="2"/>
      <c r="I19" s="2" t="s">
        <v>36</v>
      </c>
      <c r="J19" s="2" t="s">
        <v>29</v>
      </c>
      <c r="K19" s="2" t="s">
        <v>39</v>
      </c>
      <c r="L19" s="2" t="s">
        <v>41</v>
      </c>
      <c r="M19" s="2" t="s">
        <v>41</v>
      </c>
      <c r="N19" s="2" t="s">
        <v>44</v>
      </c>
      <c r="O19" s="2" t="s">
        <v>20</v>
      </c>
      <c r="P19" s="2" t="s">
        <v>29</v>
      </c>
      <c r="Q19" s="2" t="s">
        <v>20</v>
      </c>
      <c r="R19" s="2"/>
      <c r="S19" s="2" t="s">
        <v>29</v>
      </c>
      <c r="T19" s="2" t="s">
        <v>20</v>
      </c>
      <c r="U19" s="2" t="s">
        <v>20</v>
      </c>
      <c r="V19" s="2" t="s">
        <v>29</v>
      </c>
      <c r="W19" s="2" t="s">
        <v>29</v>
      </c>
      <c r="X19" s="2" t="s">
        <v>32</v>
      </c>
      <c r="Y19" s="2" t="s">
        <v>413</v>
      </c>
      <c r="Z19" s="2" t="s">
        <v>29</v>
      </c>
      <c r="AA19" s="2" t="s">
        <v>48</v>
      </c>
      <c r="AB19" s="2" t="str">
        <f t="shared" si="0"/>
        <v>category:network;subCategory:bridge-domain;epg:vlan418_epg;vrf:core;tenant:RCH;name:vlan418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-27;mcastAllow:yes;multiDstPktAct:bd-flood</v>
      </c>
    </row>
    <row r="20" spans="1:28" x14ac:dyDescent="0.25">
      <c r="A20" s="2" t="s">
        <v>90</v>
      </c>
      <c r="B20" s="2" t="s">
        <v>465</v>
      </c>
      <c r="C20" s="2" t="s">
        <v>146</v>
      </c>
      <c r="D20" s="2" t="s">
        <v>104</v>
      </c>
      <c r="E20" s="2" t="s">
        <v>99</v>
      </c>
      <c r="F20" s="2" t="s">
        <v>210</v>
      </c>
      <c r="G20" s="2"/>
      <c r="H20" s="2"/>
      <c r="I20" s="2" t="s">
        <v>36</v>
      </c>
      <c r="J20" s="2" t="s">
        <v>29</v>
      </c>
      <c r="K20" s="2" t="s">
        <v>39</v>
      </c>
      <c r="L20" s="2" t="s">
        <v>41</v>
      </c>
      <c r="M20" s="2" t="s">
        <v>41</v>
      </c>
      <c r="N20" s="2" t="s">
        <v>44</v>
      </c>
      <c r="O20" s="2" t="s">
        <v>20</v>
      </c>
      <c r="P20" s="2" t="s">
        <v>29</v>
      </c>
      <c r="Q20" s="2" t="s">
        <v>20</v>
      </c>
      <c r="R20" s="2"/>
      <c r="S20" s="2" t="s">
        <v>29</v>
      </c>
      <c r="T20" s="2" t="s">
        <v>20</v>
      </c>
      <c r="U20" s="2" t="s">
        <v>20</v>
      </c>
      <c r="V20" s="2" t="s">
        <v>29</v>
      </c>
      <c r="W20" s="2" t="s">
        <v>29</v>
      </c>
      <c r="X20" s="2" t="s">
        <v>32</v>
      </c>
      <c r="Y20" s="2" t="s">
        <v>414</v>
      </c>
      <c r="Z20" s="2" t="s">
        <v>29</v>
      </c>
      <c r="AA20" s="2" t="s">
        <v>48</v>
      </c>
      <c r="AB20" s="2" t="str">
        <f t="shared" si="0"/>
        <v>category:network;subCategory:bridge-domain;epg:vlan419_epg;vrf:core;tenant:RCH;name:vlan419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-28;mcastAllow:yes;multiDstPktAct:bd-flood</v>
      </c>
    </row>
    <row r="21" spans="1:28" x14ac:dyDescent="0.25">
      <c r="A21" s="2" t="s">
        <v>90</v>
      </c>
      <c r="B21" s="2" t="s">
        <v>465</v>
      </c>
      <c r="C21" s="2" t="s">
        <v>147</v>
      </c>
      <c r="D21" s="2" t="s">
        <v>104</v>
      </c>
      <c r="E21" s="2" t="s">
        <v>99</v>
      </c>
      <c r="F21" s="2" t="s">
        <v>211</v>
      </c>
      <c r="G21" s="2"/>
      <c r="H21" s="2"/>
      <c r="I21" s="2" t="s">
        <v>36</v>
      </c>
      <c r="J21" s="2" t="s">
        <v>29</v>
      </c>
      <c r="K21" s="2" t="s">
        <v>39</v>
      </c>
      <c r="L21" s="2" t="s">
        <v>41</v>
      </c>
      <c r="M21" s="2" t="s">
        <v>41</v>
      </c>
      <c r="N21" s="2" t="s">
        <v>44</v>
      </c>
      <c r="O21" s="2" t="s">
        <v>20</v>
      </c>
      <c r="P21" s="2" t="s">
        <v>29</v>
      </c>
      <c r="Q21" s="2" t="s">
        <v>20</v>
      </c>
      <c r="R21" s="2"/>
      <c r="S21" s="2" t="s">
        <v>29</v>
      </c>
      <c r="T21" s="2" t="s">
        <v>20</v>
      </c>
      <c r="U21" s="2" t="s">
        <v>20</v>
      </c>
      <c r="V21" s="2" t="s">
        <v>29</v>
      </c>
      <c r="W21" s="2" t="s">
        <v>29</v>
      </c>
      <c r="X21" s="2" t="s">
        <v>32</v>
      </c>
      <c r="Y21" s="2" t="s">
        <v>415</v>
      </c>
      <c r="Z21" s="2" t="s">
        <v>29</v>
      </c>
      <c r="AA21" s="2" t="s">
        <v>48</v>
      </c>
      <c r="AB21" s="2" t="str">
        <f t="shared" si="0"/>
        <v>category:network;subCategory:bridge-domain;epg:vlan420_epg;vrf:core;tenant:RCH;name:vlan420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-29;mcastAllow:yes;multiDstPktAct:bd-flood</v>
      </c>
    </row>
    <row r="22" spans="1:28" x14ac:dyDescent="0.25">
      <c r="A22" s="2" t="s">
        <v>90</v>
      </c>
      <c r="B22" s="2" t="s">
        <v>465</v>
      </c>
      <c r="C22" s="2" t="s">
        <v>148</v>
      </c>
      <c r="D22" s="2" t="s">
        <v>104</v>
      </c>
      <c r="E22" s="2" t="s">
        <v>99</v>
      </c>
      <c r="F22" s="2" t="s">
        <v>212</v>
      </c>
      <c r="G22" s="2"/>
      <c r="H22" s="2"/>
      <c r="I22" s="2" t="s">
        <v>36</v>
      </c>
      <c r="J22" s="2" t="s">
        <v>29</v>
      </c>
      <c r="K22" s="2" t="s">
        <v>39</v>
      </c>
      <c r="L22" s="2" t="s">
        <v>41</v>
      </c>
      <c r="M22" s="2" t="s">
        <v>41</v>
      </c>
      <c r="N22" s="2" t="s">
        <v>44</v>
      </c>
      <c r="O22" s="2" t="s">
        <v>20</v>
      </c>
      <c r="P22" s="2" t="s">
        <v>29</v>
      </c>
      <c r="Q22" s="2" t="s">
        <v>20</v>
      </c>
      <c r="R22" s="2"/>
      <c r="S22" s="2" t="s">
        <v>29</v>
      </c>
      <c r="T22" s="2" t="s">
        <v>20</v>
      </c>
      <c r="U22" s="2" t="s">
        <v>20</v>
      </c>
      <c r="V22" s="2" t="s">
        <v>29</v>
      </c>
      <c r="W22" s="2" t="s">
        <v>29</v>
      </c>
      <c r="X22" s="2" t="s">
        <v>32</v>
      </c>
      <c r="Y22" s="2" t="s">
        <v>416</v>
      </c>
      <c r="Z22" s="2" t="s">
        <v>29</v>
      </c>
      <c r="AA22" s="2" t="s">
        <v>48</v>
      </c>
      <c r="AB22" s="2" t="str">
        <f t="shared" si="0"/>
        <v>category:network;subCategory:bridge-domain;epg:vlan421_epg;vrf:core;tenant:RCH;name:vlan421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-30;mcastAllow:yes;multiDstPktAct:bd-flood</v>
      </c>
    </row>
    <row r="23" spans="1:28" x14ac:dyDescent="0.25">
      <c r="A23" s="2" t="s">
        <v>90</v>
      </c>
      <c r="B23" s="2" t="s">
        <v>465</v>
      </c>
      <c r="C23" s="2" t="s">
        <v>149</v>
      </c>
      <c r="D23" s="2" t="s">
        <v>104</v>
      </c>
      <c r="E23" s="2" t="s">
        <v>99</v>
      </c>
      <c r="F23" s="2" t="s">
        <v>213</v>
      </c>
      <c r="G23" s="2"/>
      <c r="H23" s="2"/>
      <c r="I23" s="2" t="s">
        <v>36</v>
      </c>
      <c r="J23" s="2" t="s">
        <v>29</v>
      </c>
      <c r="K23" s="2" t="s">
        <v>39</v>
      </c>
      <c r="L23" s="2" t="s">
        <v>41</v>
      </c>
      <c r="M23" s="2" t="s">
        <v>41</v>
      </c>
      <c r="N23" s="2" t="s">
        <v>44</v>
      </c>
      <c r="O23" s="2" t="s">
        <v>20</v>
      </c>
      <c r="P23" s="2" t="s">
        <v>29</v>
      </c>
      <c r="Q23" s="2" t="s">
        <v>20</v>
      </c>
      <c r="R23" s="2"/>
      <c r="S23" s="2" t="s">
        <v>29</v>
      </c>
      <c r="T23" s="2" t="s">
        <v>20</v>
      </c>
      <c r="U23" s="2" t="s">
        <v>20</v>
      </c>
      <c r="V23" s="2" t="s">
        <v>29</v>
      </c>
      <c r="W23" s="2" t="s">
        <v>29</v>
      </c>
      <c r="X23" s="2" t="s">
        <v>32</v>
      </c>
      <c r="Y23" s="2" t="s">
        <v>417</v>
      </c>
      <c r="Z23" s="2" t="s">
        <v>29</v>
      </c>
      <c r="AA23" s="2" t="s">
        <v>48</v>
      </c>
      <c r="AB23" s="2" t="str">
        <f t="shared" si="0"/>
        <v>category:network;subCategory:bridge-domain;epg:vlan422_epg;vrf:core;tenant:RCH;name:vlan422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-31;mcastAllow:yes;multiDstPktAct:bd-flood</v>
      </c>
    </row>
    <row r="24" spans="1:28" x14ac:dyDescent="0.25">
      <c r="A24" s="2" t="s">
        <v>90</v>
      </c>
      <c r="B24" s="2" t="s">
        <v>465</v>
      </c>
      <c r="C24" s="2" t="s">
        <v>150</v>
      </c>
      <c r="D24" s="2" t="s">
        <v>104</v>
      </c>
      <c r="E24" s="2" t="s">
        <v>99</v>
      </c>
      <c r="F24" s="2" t="s">
        <v>214</v>
      </c>
      <c r="G24" s="2"/>
      <c r="H24" s="2"/>
      <c r="I24" s="2" t="s">
        <v>36</v>
      </c>
      <c r="J24" s="2" t="s">
        <v>29</v>
      </c>
      <c r="K24" s="2" t="s">
        <v>39</v>
      </c>
      <c r="L24" s="2" t="s">
        <v>41</v>
      </c>
      <c r="M24" s="2" t="s">
        <v>41</v>
      </c>
      <c r="N24" s="2" t="s">
        <v>44</v>
      </c>
      <c r="O24" s="2" t="s">
        <v>20</v>
      </c>
      <c r="P24" s="2" t="s">
        <v>29</v>
      </c>
      <c r="Q24" s="2" t="s">
        <v>20</v>
      </c>
      <c r="R24" s="2"/>
      <c r="S24" s="2" t="s">
        <v>29</v>
      </c>
      <c r="T24" s="2" t="s">
        <v>20</v>
      </c>
      <c r="U24" s="2" t="s">
        <v>20</v>
      </c>
      <c r="V24" s="2" t="s">
        <v>29</v>
      </c>
      <c r="W24" s="2" t="s">
        <v>29</v>
      </c>
      <c r="X24" s="2" t="s">
        <v>32</v>
      </c>
      <c r="Y24" s="2" t="s">
        <v>418</v>
      </c>
      <c r="Z24" s="2" t="s">
        <v>29</v>
      </c>
      <c r="AA24" s="2" t="s">
        <v>48</v>
      </c>
      <c r="AB24" s="2" t="str">
        <f t="shared" si="0"/>
        <v>category:network;subCategory:bridge-domain;epg:vlan497_epg;vrf:core;tenant:RCH;name:vlan423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-32;mcastAllow:yes;multiDstPktAct:bd-flood</v>
      </c>
    </row>
    <row r="25" spans="1:28" x14ac:dyDescent="0.25">
      <c r="A25" s="2" t="s">
        <v>90</v>
      </c>
      <c r="B25" s="2" t="s">
        <v>465</v>
      </c>
      <c r="C25" s="2" t="s">
        <v>151</v>
      </c>
      <c r="D25" s="2" t="s">
        <v>104</v>
      </c>
      <c r="E25" s="2" t="s">
        <v>99</v>
      </c>
      <c r="F25" s="2" t="s">
        <v>215</v>
      </c>
      <c r="G25" s="2"/>
      <c r="H25" s="2"/>
      <c r="I25" s="2" t="s">
        <v>36</v>
      </c>
      <c r="J25" s="2" t="s">
        <v>29</v>
      </c>
      <c r="K25" s="2" t="s">
        <v>39</v>
      </c>
      <c r="L25" s="2" t="s">
        <v>41</v>
      </c>
      <c r="M25" s="2" t="s">
        <v>41</v>
      </c>
      <c r="N25" s="2" t="s">
        <v>44</v>
      </c>
      <c r="O25" s="2" t="s">
        <v>20</v>
      </c>
      <c r="P25" s="2" t="s">
        <v>29</v>
      </c>
      <c r="Q25" s="2" t="s">
        <v>20</v>
      </c>
      <c r="R25" s="2"/>
      <c r="S25" s="2" t="s">
        <v>29</v>
      </c>
      <c r="T25" s="2" t="s">
        <v>20</v>
      </c>
      <c r="U25" s="2" t="s">
        <v>20</v>
      </c>
      <c r="V25" s="2" t="s">
        <v>29</v>
      </c>
      <c r="W25" s="2" t="s">
        <v>29</v>
      </c>
      <c r="X25" s="2" t="s">
        <v>32</v>
      </c>
      <c r="Y25" s="2" t="s">
        <v>419</v>
      </c>
      <c r="Z25" s="2" t="s">
        <v>29</v>
      </c>
      <c r="AA25" s="2" t="s">
        <v>48</v>
      </c>
      <c r="AB25" s="2" t="str">
        <f t="shared" si="0"/>
        <v>category:network;subCategory:bridge-domain;epg:vlan501_epg;vrf:core;tenant:RCH;name:vlan497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-33;mcastAllow:yes;multiDstPktAct:bd-flood</v>
      </c>
    </row>
    <row r="26" spans="1:28" x14ac:dyDescent="0.25">
      <c r="A26" s="2" t="s">
        <v>90</v>
      </c>
      <c r="B26" s="2" t="s">
        <v>465</v>
      </c>
      <c r="C26" s="2" t="s">
        <v>152</v>
      </c>
      <c r="D26" s="2" t="s">
        <v>104</v>
      </c>
      <c r="E26" s="2" t="s">
        <v>99</v>
      </c>
      <c r="F26" s="2" t="s">
        <v>216</v>
      </c>
      <c r="G26" s="2"/>
      <c r="H26" s="2"/>
      <c r="I26" s="2" t="s">
        <v>36</v>
      </c>
      <c r="J26" s="2" t="s">
        <v>29</v>
      </c>
      <c r="K26" s="2" t="s">
        <v>39</v>
      </c>
      <c r="L26" s="2" t="s">
        <v>41</v>
      </c>
      <c r="M26" s="2" t="s">
        <v>41</v>
      </c>
      <c r="N26" s="2" t="s">
        <v>44</v>
      </c>
      <c r="O26" s="2" t="s">
        <v>20</v>
      </c>
      <c r="P26" s="2" t="s">
        <v>29</v>
      </c>
      <c r="Q26" s="2" t="s">
        <v>20</v>
      </c>
      <c r="R26" s="2"/>
      <c r="S26" s="2" t="s">
        <v>29</v>
      </c>
      <c r="T26" s="2" t="s">
        <v>20</v>
      </c>
      <c r="U26" s="2" t="s">
        <v>20</v>
      </c>
      <c r="V26" s="2" t="s">
        <v>29</v>
      </c>
      <c r="W26" s="2" t="s">
        <v>29</v>
      </c>
      <c r="X26" s="2" t="s">
        <v>32</v>
      </c>
      <c r="Y26" s="2" t="s">
        <v>420</v>
      </c>
      <c r="Z26" s="2" t="s">
        <v>29</v>
      </c>
      <c r="AA26" s="2" t="s">
        <v>48</v>
      </c>
      <c r="AB26" s="2" t="str">
        <f t="shared" si="0"/>
        <v>category:network;subCategory:bridge-domain;epg:vlan502_epg;vrf:core;tenant:RCH;name:vlan501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-34;mcastAllow:yes;multiDstPktAct:bd-flood</v>
      </c>
    </row>
    <row r="27" spans="1:28" x14ac:dyDescent="0.25">
      <c r="A27" s="2" t="s">
        <v>90</v>
      </c>
      <c r="B27" s="2" t="s">
        <v>465</v>
      </c>
      <c r="C27" s="2" t="s">
        <v>153</v>
      </c>
      <c r="D27" s="2" t="s">
        <v>104</v>
      </c>
      <c r="E27" s="2" t="s">
        <v>99</v>
      </c>
      <c r="F27" s="2" t="s">
        <v>217</v>
      </c>
      <c r="G27" s="2"/>
      <c r="H27" s="2"/>
      <c r="I27" s="2" t="s">
        <v>36</v>
      </c>
      <c r="J27" s="2" t="s">
        <v>29</v>
      </c>
      <c r="K27" s="2" t="s">
        <v>39</v>
      </c>
      <c r="L27" s="2" t="s">
        <v>41</v>
      </c>
      <c r="M27" s="2" t="s">
        <v>41</v>
      </c>
      <c r="N27" s="2" t="s">
        <v>44</v>
      </c>
      <c r="O27" s="2" t="s">
        <v>20</v>
      </c>
      <c r="P27" s="2" t="s">
        <v>29</v>
      </c>
      <c r="Q27" s="2" t="s">
        <v>20</v>
      </c>
      <c r="R27" s="2"/>
      <c r="S27" s="2" t="s">
        <v>29</v>
      </c>
      <c r="T27" s="2" t="s">
        <v>20</v>
      </c>
      <c r="U27" s="2" t="s">
        <v>20</v>
      </c>
      <c r="V27" s="2" t="s">
        <v>29</v>
      </c>
      <c r="W27" s="2" t="s">
        <v>29</v>
      </c>
      <c r="X27" s="2" t="s">
        <v>32</v>
      </c>
      <c r="Y27" s="2" t="s">
        <v>421</v>
      </c>
      <c r="Z27" s="2" t="s">
        <v>29</v>
      </c>
      <c r="AA27" s="2" t="s">
        <v>48</v>
      </c>
      <c r="AB27" s="2" t="str">
        <f t="shared" si="0"/>
        <v>category:network;subCategory:bridge-domain;epg:vlan503_epg;vrf:core;tenant:RCH;name:vlan502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-35;mcastAllow:yes;multiDstPktAct:bd-flood</v>
      </c>
    </row>
    <row r="28" spans="1:28" x14ac:dyDescent="0.25">
      <c r="A28" s="2" t="s">
        <v>90</v>
      </c>
      <c r="B28" s="2" t="s">
        <v>465</v>
      </c>
      <c r="C28" s="2" t="s">
        <v>154</v>
      </c>
      <c r="D28" s="2" t="s">
        <v>104</v>
      </c>
      <c r="E28" s="2" t="s">
        <v>99</v>
      </c>
      <c r="F28" s="2" t="s">
        <v>218</v>
      </c>
      <c r="G28" s="2"/>
      <c r="H28" s="2"/>
      <c r="I28" s="2" t="s">
        <v>36</v>
      </c>
      <c r="J28" s="2" t="s">
        <v>29</v>
      </c>
      <c r="K28" s="2" t="s">
        <v>39</v>
      </c>
      <c r="L28" s="2" t="s">
        <v>41</v>
      </c>
      <c r="M28" s="2" t="s">
        <v>41</v>
      </c>
      <c r="N28" s="2" t="s">
        <v>44</v>
      </c>
      <c r="O28" s="2" t="s">
        <v>20</v>
      </c>
      <c r="P28" s="2" t="s">
        <v>29</v>
      </c>
      <c r="Q28" s="2" t="s">
        <v>20</v>
      </c>
      <c r="R28" s="2"/>
      <c r="S28" s="2" t="s">
        <v>29</v>
      </c>
      <c r="T28" s="2" t="s">
        <v>20</v>
      </c>
      <c r="U28" s="2" t="s">
        <v>20</v>
      </c>
      <c r="V28" s="2" t="s">
        <v>29</v>
      </c>
      <c r="W28" s="2" t="s">
        <v>29</v>
      </c>
      <c r="X28" s="2" t="s">
        <v>32</v>
      </c>
      <c r="Y28" s="2" t="s">
        <v>422</v>
      </c>
      <c r="Z28" s="2" t="s">
        <v>29</v>
      </c>
      <c r="AA28" s="2" t="s">
        <v>48</v>
      </c>
      <c r="AB28" s="2" t="str">
        <f t="shared" si="0"/>
        <v>category:network;subCategory:bridge-domain;epg:vlan504_epg;vrf:core;tenant:RCH;name:vlan503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-36;mcastAllow:yes;multiDstPktAct:bd-flood</v>
      </c>
    </row>
    <row r="29" spans="1:28" x14ac:dyDescent="0.25">
      <c r="A29" s="2" t="s">
        <v>90</v>
      </c>
      <c r="B29" s="2" t="s">
        <v>465</v>
      </c>
      <c r="C29" s="2" t="s">
        <v>155</v>
      </c>
      <c r="D29" s="2" t="s">
        <v>104</v>
      </c>
      <c r="E29" s="2" t="s">
        <v>99</v>
      </c>
      <c r="F29" s="2" t="s">
        <v>219</v>
      </c>
      <c r="G29" s="2"/>
      <c r="H29" s="2"/>
      <c r="I29" s="2" t="s">
        <v>36</v>
      </c>
      <c r="J29" s="2" t="s">
        <v>29</v>
      </c>
      <c r="K29" s="2" t="s">
        <v>39</v>
      </c>
      <c r="L29" s="2" t="s">
        <v>41</v>
      </c>
      <c r="M29" s="2" t="s">
        <v>41</v>
      </c>
      <c r="N29" s="2" t="s">
        <v>44</v>
      </c>
      <c r="O29" s="2" t="s">
        <v>20</v>
      </c>
      <c r="P29" s="2" t="s">
        <v>29</v>
      </c>
      <c r="Q29" s="2" t="s">
        <v>20</v>
      </c>
      <c r="R29" s="2"/>
      <c r="S29" s="2" t="s">
        <v>29</v>
      </c>
      <c r="T29" s="2" t="s">
        <v>20</v>
      </c>
      <c r="U29" s="2" t="s">
        <v>20</v>
      </c>
      <c r="V29" s="2" t="s">
        <v>29</v>
      </c>
      <c r="W29" s="2" t="s">
        <v>29</v>
      </c>
      <c r="X29" s="2" t="s">
        <v>32</v>
      </c>
      <c r="Y29" s="2" t="s">
        <v>423</v>
      </c>
      <c r="Z29" s="2" t="s">
        <v>29</v>
      </c>
      <c r="AA29" s="2" t="s">
        <v>48</v>
      </c>
      <c r="AB29" s="2" t="str">
        <f t="shared" si="0"/>
        <v>category:network;subCategory:bridge-domain;epg:vlan505_epg;vrf:core;tenant:RCH;name:vlan504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-37;mcastAllow:yes;multiDstPktAct:bd-flood</v>
      </c>
    </row>
    <row r="30" spans="1:28" x14ac:dyDescent="0.25">
      <c r="A30" s="2" t="s">
        <v>90</v>
      </c>
      <c r="B30" s="2" t="s">
        <v>465</v>
      </c>
      <c r="C30" s="2" t="s">
        <v>156</v>
      </c>
      <c r="D30" s="2" t="s">
        <v>104</v>
      </c>
      <c r="E30" s="2" t="s">
        <v>99</v>
      </c>
      <c r="F30" s="2" t="s">
        <v>220</v>
      </c>
      <c r="G30" s="2"/>
      <c r="H30" s="2"/>
      <c r="I30" s="2" t="s">
        <v>36</v>
      </c>
      <c r="J30" s="2" t="s">
        <v>29</v>
      </c>
      <c r="K30" s="2" t="s">
        <v>39</v>
      </c>
      <c r="L30" s="2" t="s">
        <v>41</v>
      </c>
      <c r="M30" s="2" t="s">
        <v>41</v>
      </c>
      <c r="N30" s="2" t="s">
        <v>44</v>
      </c>
      <c r="O30" s="2" t="s">
        <v>20</v>
      </c>
      <c r="P30" s="2" t="s">
        <v>29</v>
      </c>
      <c r="Q30" s="2" t="s">
        <v>20</v>
      </c>
      <c r="R30" s="2"/>
      <c r="S30" s="2" t="s">
        <v>29</v>
      </c>
      <c r="T30" s="2" t="s">
        <v>20</v>
      </c>
      <c r="U30" s="2" t="s">
        <v>20</v>
      </c>
      <c r="V30" s="2" t="s">
        <v>29</v>
      </c>
      <c r="W30" s="2" t="s">
        <v>29</v>
      </c>
      <c r="X30" s="2" t="s">
        <v>32</v>
      </c>
      <c r="Y30" s="2" t="s">
        <v>424</v>
      </c>
      <c r="Z30" s="2" t="s">
        <v>29</v>
      </c>
      <c r="AA30" s="2" t="s">
        <v>48</v>
      </c>
      <c r="AB30" s="2" t="str">
        <f t="shared" si="0"/>
        <v>category:network;subCategory:bridge-domain;epg:vlan506_epg;vrf:core;tenant:RCH;name:vlan505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-38;mcastAllow:yes;multiDstPktAct:bd-flood</v>
      </c>
    </row>
    <row r="31" spans="1:28" x14ac:dyDescent="0.25">
      <c r="A31" s="2" t="s">
        <v>90</v>
      </c>
      <c r="B31" s="2" t="s">
        <v>465</v>
      </c>
      <c r="C31" s="2" t="s">
        <v>157</v>
      </c>
      <c r="D31" s="2" t="s">
        <v>104</v>
      </c>
      <c r="E31" s="2" t="s">
        <v>99</v>
      </c>
      <c r="F31" s="2" t="s">
        <v>221</v>
      </c>
      <c r="G31" s="2"/>
      <c r="H31" s="2"/>
      <c r="I31" s="2" t="s">
        <v>36</v>
      </c>
      <c r="J31" s="2" t="s">
        <v>29</v>
      </c>
      <c r="K31" s="2" t="s">
        <v>39</v>
      </c>
      <c r="L31" s="2" t="s">
        <v>41</v>
      </c>
      <c r="M31" s="2" t="s">
        <v>41</v>
      </c>
      <c r="N31" s="2" t="s">
        <v>44</v>
      </c>
      <c r="O31" s="2" t="s">
        <v>20</v>
      </c>
      <c r="P31" s="2" t="s">
        <v>29</v>
      </c>
      <c r="Q31" s="2" t="s">
        <v>20</v>
      </c>
      <c r="R31" s="2"/>
      <c r="S31" s="2" t="s">
        <v>29</v>
      </c>
      <c r="T31" s="2" t="s">
        <v>20</v>
      </c>
      <c r="U31" s="2" t="s">
        <v>20</v>
      </c>
      <c r="V31" s="2" t="s">
        <v>29</v>
      </c>
      <c r="W31" s="2" t="s">
        <v>29</v>
      </c>
      <c r="X31" s="2" t="s">
        <v>32</v>
      </c>
      <c r="Y31" s="2" t="s">
        <v>425</v>
      </c>
      <c r="Z31" s="2" t="s">
        <v>29</v>
      </c>
      <c r="AA31" s="2" t="s">
        <v>48</v>
      </c>
      <c r="AB31" s="2" t="str">
        <f t="shared" si="0"/>
        <v>category:network;subCategory:bridge-domain;epg:vlan507_epg;vrf:core;tenant:RCH;name:vlan506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-39;mcastAllow:yes;multiDstPktAct:bd-flood</v>
      </c>
    </row>
    <row r="32" spans="1:28" x14ac:dyDescent="0.25">
      <c r="A32" s="2" t="s">
        <v>90</v>
      </c>
      <c r="B32" s="2" t="s">
        <v>465</v>
      </c>
      <c r="C32" s="2" t="s">
        <v>158</v>
      </c>
      <c r="D32" s="2" t="s">
        <v>104</v>
      </c>
      <c r="E32" s="2" t="s">
        <v>99</v>
      </c>
      <c r="F32" s="2" t="s">
        <v>222</v>
      </c>
      <c r="G32" s="2"/>
      <c r="H32" s="2"/>
      <c r="I32" s="2" t="s">
        <v>36</v>
      </c>
      <c r="J32" s="2" t="s">
        <v>29</v>
      </c>
      <c r="K32" s="2" t="s">
        <v>39</v>
      </c>
      <c r="L32" s="2" t="s">
        <v>41</v>
      </c>
      <c r="M32" s="2" t="s">
        <v>41</v>
      </c>
      <c r="N32" s="2" t="s">
        <v>44</v>
      </c>
      <c r="O32" s="2" t="s">
        <v>20</v>
      </c>
      <c r="P32" s="2" t="s">
        <v>29</v>
      </c>
      <c r="Q32" s="2" t="s">
        <v>20</v>
      </c>
      <c r="R32" s="2"/>
      <c r="S32" s="2" t="s">
        <v>29</v>
      </c>
      <c r="T32" s="2" t="s">
        <v>20</v>
      </c>
      <c r="U32" s="2" t="s">
        <v>20</v>
      </c>
      <c r="V32" s="2" t="s">
        <v>29</v>
      </c>
      <c r="W32" s="2" t="s">
        <v>29</v>
      </c>
      <c r="X32" s="2" t="s">
        <v>32</v>
      </c>
      <c r="Y32" s="2" t="s">
        <v>426</v>
      </c>
      <c r="Z32" s="2" t="s">
        <v>29</v>
      </c>
      <c r="AA32" s="2" t="s">
        <v>48</v>
      </c>
      <c r="AB32" s="2" t="str">
        <f t="shared" si="0"/>
        <v>category:network;subCategory:bridge-domain;epg:vlan508_epg;vrf:core;tenant:RCH;name:vlan507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-40;mcastAllow:yes;multiDstPktAct:bd-flood</v>
      </c>
    </row>
    <row r="33" spans="1:28" x14ac:dyDescent="0.25">
      <c r="A33" s="2" t="s">
        <v>90</v>
      </c>
      <c r="B33" s="2" t="s">
        <v>465</v>
      </c>
      <c r="C33" s="2" t="s">
        <v>159</v>
      </c>
      <c r="D33" s="2" t="s">
        <v>104</v>
      </c>
      <c r="E33" s="2" t="s">
        <v>99</v>
      </c>
      <c r="F33" s="2" t="s">
        <v>223</v>
      </c>
      <c r="G33" s="2"/>
      <c r="H33" s="2"/>
      <c r="I33" s="2" t="s">
        <v>36</v>
      </c>
      <c r="J33" s="2" t="s">
        <v>29</v>
      </c>
      <c r="K33" s="2" t="s">
        <v>39</v>
      </c>
      <c r="L33" s="2" t="s">
        <v>41</v>
      </c>
      <c r="M33" s="2" t="s">
        <v>41</v>
      </c>
      <c r="N33" s="2" t="s">
        <v>44</v>
      </c>
      <c r="O33" s="2" t="s">
        <v>20</v>
      </c>
      <c r="P33" s="2" t="s">
        <v>29</v>
      </c>
      <c r="Q33" s="2" t="s">
        <v>20</v>
      </c>
      <c r="R33" s="2"/>
      <c r="S33" s="2" t="s">
        <v>29</v>
      </c>
      <c r="T33" s="2" t="s">
        <v>20</v>
      </c>
      <c r="U33" s="2" t="s">
        <v>20</v>
      </c>
      <c r="V33" s="2" t="s">
        <v>29</v>
      </c>
      <c r="W33" s="2" t="s">
        <v>29</v>
      </c>
      <c r="X33" s="2" t="s">
        <v>32</v>
      </c>
      <c r="Y33" s="2" t="s">
        <v>427</v>
      </c>
      <c r="Z33" s="2" t="s">
        <v>29</v>
      </c>
      <c r="AA33" s="2" t="s">
        <v>48</v>
      </c>
      <c r="AB33" s="2" t="str">
        <f t="shared" si="0"/>
        <v>category:network;subCategory:bridge-domain;epg:vlan509_epg;vrf:core;tenant:RCH;name:vlan508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-41;mcastAllow:yes;multiDstPktAct:bd-flood</v>
      </c>
    </row>
    <row r="34" spans="1:28" x14ac:dyDescent="0.25">
      <c r="A34" s="2" t="s">
        <v>90</v>
      </c>
      <c r="B34" s="2" t="s">
        <v>465</v>
      </c>
      <c r="C34" s="2" t="s">
        <v>160</v>
      </c>
      <c r="D34" s="2" t="s">
        <v>104</v>
      </c>
      <c r="E34" s="2" t="s">
        <v>99</v>
      </c>
      <c r="F34" s="2" t="s">
        <v>224</v>
      </c>
      <c r="G34" s="2"/>
      <c r="H34" s="2"/>
      <c r="I34" s="2" t="s">
        <v>36</v>
      </c>
      <c r="J34" s="2" t="s">
        <v>29</v>
      </c>
      <c r="K34" s="2" t="s">
        <v>39</v>
      </c>
      <c r="L34" s="2" t="s">
        <v>41</v>
      </c>
      <c r="M34" s="2" t="s">
        <v>41</v>
      </c>
      <c r="N34" s="2" t="s">
        <v>44</v>
      </c>
      <c r="O34" s="2" t="s">
        <v>20</v>
      </c>
      <c r="P34" s="2" t="s">
        <v>29</v>
      </c>
      <c r="Q34" s="2" t="s">
        <v>20</v>
      </c>
      <c r="R34" s="2"/>
      <c r="S34" s="2" t="s">
        <v>29</v>
      </c>
      <c r="T34" s="2" t="s">
        <v>20</v>
      </c>
      <c r="U34" s="2" t="s">
        <v>20</v>
      </c>
      <c r="V34" s="2" t="s">
        <v>29</v>
      </c>
      <c r="W34" s="2" t="s">
        <v>29</v>
      </c>
      <c r="X34" s="2" t="s">
        <v>32</v>
      </c>
      <c r="Y34" s="2" t="s">
        <v>428</v>
      </c>
      <c r="Z34" s="2" t="s">
        <v>29</v>
      </c>
      <c r="AA34" s="2" t="s">
        <v>48</v>
      </c>
      <c r="AB34" s="2" t="str">
        <f t="shared" si="0"/>
        <v>category:network;subCategory:bridge-domain;epg:vlan510_epg;vrf:core;tenant:RCH;name:vlan509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-42;mcastAllow:yes;multiDstPktAct:bd-flood</v>
      </c>
    </row>
    <row r="35" spans="1:28" x14ac:dyDescent="0.25">
      <c r="A35" s="2" t="s">
        <v>90</v>
      </c>
      <c r="B35" s="2" t="s">
        <v>465</v>
      </c>
      <c r="C35" s="2" t="s">
        <v>161</v>
      </c>
      <c r="D35" s="2" t="s">
        <v>104</v>
      </c>
      <c r="E35" s="2" t="s">
        <v>99</v>
      </c>
      <c r="F35" s="2" t="s">
        <v>225</v>
      </c>
      <c r="G35" s="2"/>
      <c r="H35" s="2"/>
      <c r="I35" s="2" t="s">
        <v>36</v>
      </c>
      <c r="J35" s="2" t="s">
        <v>29</v>
      </c>
      <c r="K35" s="2" t="s">
        <v>39</v>
      </c>
      <c r="L35" s="2" t="s">
        <v>41</v>
      </c>
      <c r="M35" s="2" t="s">
        <v>41</v>
      </c>
      <c r="N35" s="2" t="s">
        <v>44</v>
      </c>
      <c r="O35" s="2" t="s">
        <v>20</v>
      </c>
      <c r="P35" s="2" t="s">
        <v>29</v>
      </c>
      <c r="Q35" s="2" t="s">
        <v>20</v>
      </c>
      <c r="R35" s="2"/>
      <c r="S35" s="2" t="s">
        <v>29</v>
      </c>
      <c r="T35" s="2" t="s">
        <v>20</v>
      </c>
      <c r="U35" s="2" t="s">
        <v>20</v>
      </c>
      <c r="V35" s="2" t="s">
        <v>29</v>
      </c>
      <c r="W35" s="2" t="s">
        <v>29</v>
      </c>
      <c r="X35" s="2" t="s">
        <v>32</v>
      </c>
      <c r="Y35" s="2" t="s">
        <v>429</v>
      </c>
      <c r="Z35" s="2" t="s">
        <v>29</v>
      </c>
      <c r="AA35" s="2" t="s">
        <v>48</v>
      </c>
      <c r="AB35" s="2" t="str">
        <f t="shared" si="0"/>
        <v>category:network;subCategory:bridge-domain;epg:vlan515_epg;vrf:core;tenant:RCH;name:vlan510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-43;mcastAllow:yes;multiDstPktAct:bd-flood</v>
      </c>
    </row>
    <row r="36" spans="1:28" x14ac:dyDescent="0.25">
      <c r="A36" s="2" t="s">
        <v>90</v>
      </c>
      <c r="B36" s="2" t="s">
        <v>465</v>
      </c>
      <c r="C36" s="2" t="s">
        <v>162</v>
      </c>
      <c r="D36" s="2" t="s">
        <v>104</v>
      </c>
      <c r="E36" s="2" t="s">
        <v>99</v>
      </c>
      <c r="F36" s="2" t="s">
        <v>226</v>
      </c>
      <c r="G36" s="2"/>
      <c r="H36" s="2"/>
      <c r="I36" s="2" t="s">
        <v>36</v>
      </c>
      <c r="J36" s="2" t="s">
        <v>29</v>
      </c>
      <c r="K36" s="2" t="s">
        <v>39</v>
      </c>
      <c r="L36" s="2" t="s">
        <v>41</v>
      </c>
      <c r="M36" s="2" t="s">
        <v>41</v>
      </c>
      <c r="N36" s="2" t="s">
        <v>44</v>
      </c>
      <c r="O36" s="2" t="s">
        <v>20</v>
      </c>
      <c r="P36" s="2" t="s">
        <v>29</v>
      </c>
      <c r="Q36" s="2" t="s">
        <v>20</v>
      </c>
      <c r="R36" s="2"/>
      <c r="S36" s="2" t="s">
        <v>29</v>
      </c>
      <c r="T36" s="2" t="s">
        <v>20</v>
      </c>
      <c r="U36" s="2" t="s">
        <v>20</v>
      </c>
      <c r="V36" s="2" t="s">
        <v>29</v>
      </c>
      <c r="W36" s="2" t="s">
        <v>29</v>
      </c>
      <c r="X36" s="2" t="s">
        <v>32</v>
      </c>
      <c r="Y36" s="2" t="s">
        <v>430</v>
      </c>
      <c r="Z36" s="2" t="s">
        <v>29</v>
      </c>
      <c r="AA36" s="2" t="s">
        <v>48</v>
      </c>
      <c r="AB36" s="2" t="str">
        <f t="shared" si="0"/>
        <v>category:network;subCategory:bridge-domain;epg:vlan516_epg;vrf:core;tenant:RCH;name:vlan515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-44;mcastAllow:yes;multiDstPktAct:bd-flood</v>
      </c>
    </row>
    <row r="37" spans="1:28" x14ac:dyDescent="0.25">
      <c r="A37" s="2" t="s">
        <v>90</v>
      </c>
      <c r="B37" s="2" t="s">
        <v>465</v>
      </c>
      <c r="C37" s="2" t="s">
        <v>163</v>
      </c>
      <c r="D37" s="2" t="s">
        <v>104</v>
      </c>
      <c r="E37" s="2" t="s">
        <v>99</v>
      </c>
      <c r="F37" s="2" t="s">
        <v>227</v>
      </c>
      <c r="G37" s="2"/>
      <c r="H37" s="2"/>
      <c r="I37" s="2" t="s">
        <v>36</v>
      </c>
      <c r="J37" s="2" t="s">
        <v>29</v>
      </c>
      <c r="K37" s="2" t="s">
        <v>39</v>
      </c>
      <c r="L37" s="2" t="s">
        <v>41</v>
      </c>
      <c r="M37" s="2" t="s">
        <v>41</v>
      </c>
      <c r="N37" s="2" t="s">
        <v>44</v>
      </c>
      <c r="O37" s="2" t="s">
        <v>20</v>
      </c>
      <c r="P37" s="2" t="s">
        <v>29</v>
      </c>
      <c r="Q37" s="2" t="s">
        <v>20</v>
      </c>
      <c r="R37" s="2"/>
      <c r="S37" s="2" t="s">
        <v>29</v>
      </c>
      <c r="T37" s="2" t="s">
        <v>20</v>
      </c>
      <c r="U37" s="2" t="s">
        <v>20</v>
      </c>
      <c r="V37" s="2" t="s">
        <v>29</v>
      </c>
      <c r="W37" s="2" t="s">
        <v>29</v>
      </c>
      <c r="X37" s="2" t="s">
        <v>32</v>
      </c>
      <c r="Y37" s="2" t="s">
        <v>431</v>
      </c>
      <c r="Z37" s="2" t="s">
        <v>29</v>
      </c>
      <c r="AA37" s="2" t="s">
        <v>48</v>
      </c>
      <c r="AB37" s="2" t="str">
        <f t="shared" si="0"/>
        <v>category:network;subCategory:bridge-domain;epg:vlan517_epg;vrf:core;tenant:RCH;name:vlan516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-45;mcastAllow:yes;multiDstPktAct:bd-flood</v>
      </c>
    </row>
    <row r="38" spans="1:28" x14ac:dyDescent="0.25">
      <c r="A38" s="2" t="s">
        <v>90</v>
      </c>
      <c r="B38" s="2" t="s">
        <v>465</v>
      </c>
      <c r="C38" s="2" t="s">
        <v>164</v>
      </c>
      <c r="D38" s="2" t="s">
        <v>104</v>
      </c>
      <c r="E38" s="2" t="s">
        <v>99</v>
      </c>
      <c r="F38" s="2" t="s">
        <v>228</v>
      </c>
      <c r="G38" s="2"/>
      <c r="H38" s="2"/>
      <c r="I38" s="2" t="s">
        <v>36</v>
      </c>
      <c r="J38" s="2" t="s">
        <v>29</v>
      </c>
      <c r="K38" s="2" t="s">
        <v>39</v>
      </c>
      <c r="L38" s="2" t="s">
        <v>41</v>
      </c>
      <c r="M38" s="2" t="s">
        <v>41</v>
      </c>
      <c r="N38" s="2" t="s">
        <v>44</v>
      </c>
      <c r="O38" s="2" t="s">
        <v>20</v>
      </c>
      <c r="P38" s="2" t="s">
        <v>29</v>
      </c>
      <c r="Q38" s="2" t="s">
        <v>20</v>
      </c>
      <c r="R38" s="2"/>
      <c r="S38" s="2" t="s">
        <v>29</v>
      </c>
      <c r="T38" s="2" t="s">
        <v>20</v>
      </c>
      <c r="U38" s="2" t="s">
        <v>20</v>
      </c>
      <c r="V38" s="2" t="s">
        <v>29</v>
      </c>
      <c r="W38" s="2" t="s">
        <v>29</v>
      </c>
      <c r="X38" s="2" t="s">
        <v>32</v>
      </c>
      <c r="Y38" s="2" t="s">
        <v>432</v>
      </c>
      <c r="Z38" s="2" t="s">
        <v>29</v>
      </c>
      <c r="AA38" s="2" t="s">
        <v>48</v>
      </c>
      <c r="AB38" s="2" t="str">
        <f t="shared" si="0"/>
        <v>category:network;subCategory:bridge-domain;epg:vlan518_epg;vrf:core;tenant:RCH;name:vlan517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-46;mcastAllow:yes;multiDstPktAct:bd-flood</v>
      </c>
    </row>
    <row r="39" spans="1:28" x14ac:dyDescent="0.25">
      <c r="A39" s="2" t="s">
        <v>90</v>
      </c>
      <c r="B39" s="2" t="s">
        <v>465</v>
      </c>
      <c r="C39" s="2" t="s">
        <v>165</v>
      </c>
      <c r="D39" s="2" t="s">
        <v>104</v>
      </c>
      <c r="E39" s="2" t="s">
        <v>99</v>
      </c>
      <c r="F39" s="2" t="s">
        <v>229</v>
      </c>
      <c r="G39" s="2"/>
      <c r="H39" s="2"/>
      <c r="I39" s="2" t="s">
        <v>36</v>
      </c>
      <c r="J39" s="2" t="s">
        <v>29</v>
      </c>
      <c r="K39" s="2" t="s">
        <v>39</v>
      </c>
      <c r="L39" s="2" t="s">
        <v>41</v>
      </c>
      <c r="M39" s="2" t="s">
        <v>41</v>
      </c>
      <c r="N39" s="2" t="s">
        <v>44</v>
      </c>
      <c r="O39" s="2" t="s">
        <v>20</v>
      </c>
      <c r="P39" s="2" t="s">
        <v>29</v>
      </c>
      <c r="Q39" s="2" t="s">
        <v>20</v>
      </c>
      <c r="R39" s="2"/>
      <c r="S39" s="2" t="s">
        <v>29</v>
      </c>
      <c r="T39" s="2" t="s">
        <v>20</v>
      </c>
      <c r="U39" s="2" t="s">
        <v>20</v>
      </c>
      <c r="V39" s="2" t="s">
        <v>29</v>
      </c>
      <c r="W39" s="2" t="s">
        <v>29</v>
      </c>
      <c r="X39" s="2" t="s">
        <v>32</v>
      </c>
      <c r="Y39" s="2" t="s">
        <v>433</v>
      </c>
      <c r="Z39" s="2" t="s">
        <v>29</v>
      </c>
      <c r="AA39" s="2" t="s">
        <v>48</v>
      </c>
      <c r="AB39" s="2" t="str">
        <f t="shared" si="0"/>
        <v>category:network;subCategory:bridge-domain;epg:vlan519_epg;vrf:core;tenant:RCH;name:vlan518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-47;mcastAllow:yes;multiDstPktAct:bd-flood</v>
      </c>
    </row>
    <row r="40" spans="1:28" x14ac:dyDescent="0.25">
      <c r="A40" s="2" t="s">
        <v>90</v>
      </c>
      <c r="B40" s="2" t="s">
        <v>465</v>
      </c>
      <c r="C40" s="2" t="s">
        <v>166</v>
      </c>
      <c r="D40" s="2" t="s">
        <v>104</v>
      </c>
      <c r="E40" s="2" t="s">
        <v>99</v>
      </c>
      <c r="F40" s="2" t="s">
        <v>230</v>
      </c>
      <c r="G40" s="2"/>
      <c r="H40" s="2"/>
      <c r="I40" s="2" t="s">
        <v>36</v>
      </c>
      <c r="J40" s="2" t="s">
        <v>29</v>
      </c>
      <c r="K40" s="2" t="s">
        <v>39</v>
      </c>
      <c r="L40" s="2" t="s">
        <v>41</v>
      </c>
      <c r="M40" s="2" t="s">
        <v>41</v>
      </c>
      <c r="N40" s="2" t="s">
        <v>44</v>
      </c>
      <c r="O40" s="2" t="s">
        <v>20</v>
      </c>
      <c r="P40" s="2" t="s">
        <v>29</v>
      </c>
      <c r="Q40" s="2" t="s">
        <v>20</v>
      </c>
      <c r="R40" s="2"/>
      <c r="S40" s="2" t="s">
        <v>29</v>
      </c>
      <c r="T40" s="2" t="s">
        <v>20</v>
      </c>
      <c r="U40" s="2" t="s">
        <v>20</v>
      </c>
      <c r="V40" s="2" t="s">
        <v>29</v>
      </c>
      <c r="W40" s="2" t="s">
        <v>29</v>
      </c>
      <c r="X40" s="2" t="s">
        <v>32</v>
      </c>
      <c r="Y40" s="2" t="s">
        <v>434</v>
      </c>
      <c r="Z40" s="2" t="s">
        <v>29</v>
      </c>
      <c r="AA40" s="2" t="s">
        <v>48</v>
      </c>
      <c r="AB40" s="2" t="str">
        <f t="shared" si="0"/>
        <v>category:network;subCategory:bridge-domain;epg:vlan520_epg;vrf:core;tenant:RCH;name:vlan519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-48;mcastAllow:yes;multiDstPktAct:bd-flood</v>
      </c>
    </row>
    <row r="41" spans="1:28" x14ac:dyDescent="0.25">
      <c r="A41" s="2" t="s">
        <v>90</v>
      </c>
      <c r="B41" s="2" t="s">
        <v>465</v>
      </c>
      <c r="C41" s="2" t="s">
        <v>167</v>
      </c>
      <c r="D41" s="2" t="s">
        <v>104</v>
      </c>
      <c r="E41" s="2" t="s">
        <v>99</v>
      </c>
      <c r="F41" s="2" t="s">
        <v>231</v>
      </c>
      <c r="G41" s="2"/>
      <c r="H41" s="2"/>
      <c r="I41" s="2" t="s">
        <v>36</v>
      </c>
      <c r="J41" s="2" t="s">
        <v>29</v>
      </c>
      <c r="K41" s="2" t="s">
        <v>39</v>
      </c>
      <c r="L41" s="2" t="s">
        <v>41</v>
      </c>
      <c r="M41" s="2" t="s">
        <v>41</v>
      </c>
      <c r="N41" s="2" t="s">
        <v>44</v>
      </c>
      <c r="O41" s="2" t="s">
        <v>20</v>
      </c>
      <c r="P41" s="2" t="s">
        <v>29</v>
      </c>
      <c r="Q41" s="2" t="s">
        <v>20</v>
      </c>
      <c r="R41" s="2"/>
      <c r="S41" s="2" t="s">
        <v>29</v>
      </c>
      <c r="T41" s="2" t="s">
        <v>20</v>
      </c>
      <c r="U41" s="2" t="s">
        <v>20</v>
      </c>
      <c r="V41" s="2" t="s">
        <v>29</v>
      </c>
      <c r="W41" s="2" t="s">
        <v>29</v>
      </c>
      <c r="X41" s="2" t="s">
        <v>32</v>
      </c>
      <c r="Y41" s="2" t="s">
        <v>435</v>
      </c>
      <c r="Z41" s="2" t="s">
        <v>29</v>
      </c>
      <c r="AA41" s="2" t="s">
        <v>48</v>
      </c>
      <c r="AB41" s="2" t="str">
        <f t="shared" si="0"/>
        <v>category:network;subCategory:bridge-domain;epg:vlan521_epg;vrf:core;tenant:RCH;name:vlan520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-49;mcastAllow:yes;multiDstPktAct:bd-flood</v>
      </c>
    </row>
    <row r="42" spans="1:28" x14ac:dyDescent="0.25">
      <c r="A42" s="2" t="s">
        <v>90</v>
      </c>
      <c r="B42" s="2" t="s">
        <v>465</v>
      </c>
      <c r="C42" s="2" t="s">
        <v>168</v>
      </c>
      <c r="D42" s="2" t="s">
        <v>104</v>
      </c>
      <c r="E42" s="2" t="s">
        <v>99</v>
      </c>
      <c r="F42" s="2" t="s">
        <v>232</v>
      </c>
      <c r="G42" s="2"/>
      <c r="H42" s="2"/>
      <c r="I42" s="2" t="s">
        <v>36</v>
      </c>
      <c r="J42" s="2" t="s">
        <v>29</v>
      </c>
      <c r="K42" s="2" t="s">
        <v>39</v>
      </c>
      <c r="L42" s="2" t="s">
        <v>41</v>
      </c>
      <c r="M42" s="2" t="s">
        <v>41</v>
      </c>
      <c r="N42" s="2" t="s">
        <v>44</v>
      </c>
      <c r="O42" s="2" t="s">
        <v>20</v>
      </c>
      <c r="P42" s="2" t="s">
        <v>29</v>
      </c>
      <c r="Q42" s="2" t="s">
        <v>20</v>
      </c>
      <c r="R42" s="2"/>
      <c r="S42" s="2" t="s">
        <v>29</v>
      </c>
      <c r="T42" s="2" t="s">
        <v>20</v>
      </c>
      <c r="U42" s="2" t="s">
        <v>20</v>
      </c>
      <c r="V42" s="2" t="s">
        <v>29</v>
      </c>
      <c r="W42" s="2" t="s">
        <v>29</v>
      </c>
      <c r="X42" s="2" t="s">
        <v>32</v>
      </c>
      <c r="Y42" s="2" t="s">
        <v>436</v>
      </c>
      <c r="Z42" s="2" t="s">
        <v>29</v>
      </c>
      <c r="AA42" s="2" t="s">
        <v>48</v>
      </c>
      <c r="AB42" s="2" t="str">
        <f t="shared" si="0"/>
        <v>category:network;subCategory:bridge-domain;epg:vlan522_epg;vrf:core;tenant:RCH;name:vlan521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-50;mcastAllow:yes;multiDstPktAct:bd-flood</v>
      </c>
    </row>
    <row r="43" spans="1:28" x14ac:dyDescent="0.25">
      <c r="A43" s="2" t="s">
        <v>90</v>
      </c>
      <c r="B43" s="2" t="s">
        <v>465</v>
      </c>
      <c r="C43" s="2" t="s">
        <v>169</v>
      </c>
      <c r="D43" s="2" t="s">
        <v>104</v>
      </c>
      <c r="E43" s="2" t="s">
        <v>99</v>
      </c>
      <c r="F43" s="2" t="s">
        <v>233</v>
      </c>
      <c r="G43" s="2"/>
      <c r="H43" s="2"/>
      <c r="I43" s="2" t="s">
        <v>36</v>
      </c>
      <c r="J43" s="2" t="s">
        <v>29</v>
      </c>
      <c r="K43" s="2" t="s">
        <v>39</v>
      </c>
      <c r="L43" s="2" t="s">
        <v>41</v>
      </c>
      <c r="M43" s="2" t="s">
        <v>41</v>
      </c>
      <c r="N43" s="2" t="s">
        <v>44</v>
      </c>
      <c r="O43" s="2" t="s">
        <v>20</v>
      </c>
      <c r="P43" s="2" t="s">
        <v>29</v>
      </c>
      <c r="Q43" s="2" t="s">
        <v>20</v>
      </c>
      <c r="R43" s="2"/>
      <c r="S43" s="2" t="s">
        <v>29</v>
      </c>
      <c r="T43" s="2" t="s">
        <v>20</v>
      </c>
      <c r="U43" s="2" t="s">
        <v>20</v>
      </c>
      <c r="V43" s="2" t="s">
        <v>29</v>
      </c>
      <c r="W43" s="2" t="s">
        <v>29</v>
      </c>
      <c r="X43" s="2" t="s">
        <v>32</v>
      </c>
      <c r="Y43" s="2" t="s">
        <v>437</v>
      </c>
      <c r="Z43" s="2" t="s">
        <v>29</v>
      </c>
      <c r="AA43" s="2" t="s">
        <v>48</v>
      </c>
      <c r="AB43" s="2" t="str">
        <f t="shared" si="0"/>
        <v>category:network;subCategory:bridge-domain;epg:vlan523_epg;vrf:core;tenant:RCH;name:vlan522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-51;mcastAllow:yes;multiDstPktAct:bd-flood</v>
      </c>
    </row>
    <row r="44" spans="1:28" x14ac:dyDescent="0.25">
      <c r="A44" s="2" t="s">
        <v>90</v>
      </c>
      <c r="B44" s="2" t="s">
        <v>465</v>
      </c>
      <c r="C44" s="2" t="s">
        <v>170</v>
      </c>
      <c r="D44" s="2" t="s">
        <v>104</v>
      </c>
      <c r="E44" s="2" t="s">
        <v>99</v>
      </c>
      <c r="F44" s="2" t="s">
        <v>234</v>
      </c>
      <c r="G44" s="2"/>
      <c r="H44" s="2"/>
      <c r="I44" s="2" t="s">
        <v>36</v>
      </c>
      <c r="J44" s="2" t="s">
        <v>29</v>
      </c>
      <c r="K44" s="2" t="s">
        <v>39</v>
      </c>
      <c r="L44" s="2" t="s">
        <v>41</v>
      </c>
      <c r="M44" s="2" t="s">
        <v>41</v>
      </c>
      <c r="N44" s="2" t="s">
        <v>44</v>
      </c>
      <c r="O44" s="2" t="s">
        <v>20</v>
      </c>
      <c r="P44" s="2" t="s">
        <v>29</v>
      </c>
      <c r="Q44" s="2" t="s">
        <v>20</v>
      </c>
      <c r="R44" s="2"/>
      <c r="S44" s="2" t="s">
        <v>29</v>
      </c>
      <c r="T44" s="2" t="s">
        <v>20</v>
      </c>
      <c r="U44" s="2" t="s">
        <v>20</v>
      </c>
      <c r="V44" s="2" t="s">
        <v>29</v>
      </c>
      <c r="W44" s="2" t="s">
        <v>29</v>
      </c>
      <c r="X44" s="2" t="s">
        <v>32</v>
      </c>
      <c r="Y44" s="2" t="s">
        <v>438</v>
      </c>
      <c r="Z44" s="2" t="s">
        <v>29</v>
      </c>
      <c r="AA44" s="2" t="s">
        <v>48</v>
      </c>
      <c r="AB44" s="2" t="str">
        <f t="shared" si="0"/>
        <v>category:network;subCategory:bridge-domain;epg:vlan524_epg;vrf:core;tenant:RCH;name:vlan523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-52;mcastAllow:yes;multiDstPktAct:bd-flood</v>
      </c>
    </row>
    <row r="45" spans="1:28" x14ac:dyDescent="0.25">
      <c r="A45" s="2" t="s">
        <v>90</v>
      </c>
      <c r="B45" s="2" t="s">
        <v>465</v>
      </c>
      <c r="C45" s="2" t="s">
        <v>171</v>
      </c>
      <c r="D45" s="2" t="s">
        <v>104</v>
      </c>
      <c r="E45" s="2" t="s">
        <v>99</v>
      </c>
      <c r="F45" s="2" t="s">
        <v>235</v>
      </c>
      <c r="G45" s="2"/>
      <c r="H45" s="2"/>
      <c r="I45" s="2" t="s">
        <v>36</v>
      </c>
      <c r="J45" s="2" t="s">
        <v>29</v>
      </c>
      <c r="K45" s="2" t="s">
        <v>39</v>
      </c>
      <c r="L45" s="2" t="s">
        <v>41</v>
      </c>
      <c r="M45" s="2" t="s">
        <v>41</v>
      </c>
      <c r="N45" s="2" t="s">
        <v>44</v>
      </c>
      <c r="O45" s="2" t="s">
        <v>20</v>
      </c>
      <c r="P45" s="2" t="s">
        <v>29</v>
      </c>
      <c r="Q45" s="2" t="s">
        <v>20</v>
      </c>
      <c r="R45" s="2"/>
      <c r="S45" s="2" t="s">
        <v>29</v>
      </c>
      <c r="T45" s="2" t="s">
        <v>20</v>
      </c>
      <c r="U45" s="2" t="s">
        <v>20</v>
      </c>
      <c r="V45" s="2" t="s">
        <v>29</v>
      </c>
      <c r="W45" s="2" t="s">
        <v>29</v>
      </c>
      <c r="X45" s="2" t="s">
        <v>32</v>
      </c>
      <c r="Y45" s="2" t="s">
        <v>439</v>
      </c>
      <c r="Z45" s="2" t="s">
        <v>29</v>
      </c>
      <c r="AA45" s="2" t="s">
        <v>48</v>
      </c>
      <c r="AB45" s="2" t="str">
        <f t="shared" si="0"/>
        <v>category:network;subCategory:bridge-domain;epg:vlan525_epg;vrf:core;tenant:RCH;name:vlan524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-53;mcastAllow:yes;multiDstPktAct:bd-flood</v>
      </c>
    </row>
    <row r="46" spans="1:28" x14ac:dyDescent="0.25">
      <c r="A46" s="2" t="s">
        <v>90</v>
      </c>
      <c r="B46" s="2" t="s">
        <v>465</v>
      </c>
      <c r="C46" s="2" t="s">
        <v>172</v>
      </c>
      <c r="D46" s="2" t="s">
        <v>104</v>
      </c>
      <c r="E46" s="2" t="s">
        <v>99</v>
      </c>
      <c r="F46" s="2" t="s">
        <v>236</v>
      </c>
      <c r="G46" s="2"/>
      <c r="H46" s="2"/>
      <c r="I46" s="2" t="s">
        <v>36</v>
      </c>
      <c r="J46" s="2" t="s">
        <v>29</v>
      </c>
      <c r="K46" s="2" t="s">
        <v>39</v>
      </c>
      <c r="L46" s="2" t="s">
        <v>41</v>
      </c>
      <c r="M46" s="2" t="s">
        <v>41</v>
      </c>
      <c r="N46" s="2" t="s">
        <v>44</v>
      </c>
      <c r="O46" s="2" t="s">
        <v>20</v>
      </c>
      <c r="P46" s="2" t="s">
        <v>29</v>
      </c>
      <c r="Q46" s="2" t="s">
        <v>20</v>
      </c>
      <c r="R46" s="2"/>
      <c r="S46" s="2" t="s">
        <v>29</v>
      </c>
      <c r="T46" s="2" t="s">
        <v>20</v>
      </c>
      <c r="U46" s="2" t="s">
        <v>20</v>
      </c>
      <c r="V46" s="2" t="s">
        <v>29</v>
      </c>
      <c r="W46" s="2" t="s">
        <v>29</v>
      </c>
      <c r="X46" s="2" t="s">
        <v>32</v>
      </c>
      <c r="Y46" s="2" t="s">
        <v>440</v>
      </c>
      <c r="Z46" s="2" t="s">
        <v>29</v>
      </c>
      <c r="AA46" s="2" t="s">
        <v>48</v>
      </c>
      <c r="AB46" s="2" t="str">
        <f t="shared" si="0"/>
        <v>category:network;subCategory:bridge-domain;epg:vlan526_epg;vrf:core;tenant:RCH;name:vlan525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-54;mcastAllow:yes;multiDstPktAct:bd-flood</v>
      </c>
    </row>
    <row r="47" spans="1:28" x14ac:dyDescent="0.25">
      <c r="A47" s="2" t="s">
        <v>90</v>
      </c>
      <c r="B47" s="2" t="s">
        <v>465</v>
      </c>
      <c r="C47" s="2" t="s">
        <v>173</v>
      </c>
      <c r="D47" s="2" t="s">
        <v>104</v>
      </c>
      <c r="E47" s="2" t="s">
        <v>99</v>
      </c>
      <c r="F47" s="2" t="s">
        <v>237</v>
      </c>
      <c r="G47" s="2"/>
      <c r="H47" s="2"/>
      <c r="I47" s="2" t="s">
        <v>36</v>
      </c>
      <c r="J47" s="2" t="s">
        <v>29</v>
      </c>
      <c r="K47" s="2" t="s">
        <v>39</v>
      </c>
      <c r="L47" s="2" t="s">
        <v>41</v>
      </c>
      <c r="M47" s="2" t="s">
        <v>41</v>
      </c>
      <c r="N47" s="2" t="s">
        <v>44</v>
      </c>
      <c r="O47" s="2" t="s">
        <v>20</v>
      </c>
      <c r="P47" s="2" t="s">
        <v>29</v>
      </c>
      <c r="Q47" s="2" t="s">
        <v>20</v>
      </c>
      <c r="R47" s="2"/>
      <c r="S47" s="2" t="s">
        <v>29</v>
      </c>
      <c r="T47" s="2" t="s">
        <v>20</v>
      </c>
      <c r="U47" s="2" t="s">
        <v>20</v>
      </c>
      <c r="V47" s="2" t="s">
        <v>29</v>
      </c>
      <c r="W47" s="2" t="s">
        <v>29</v>
      </c>
      <c r="X47" s="2" t="s">
        <v>32</v>
      </c>
      <c r="Y47" s="2" t="s">
        <v>441</v>
      </c>
      <c r="Z47" s="2" t="s">
        <v>29</v>
      </c>
      <c r="AA47" s="2" t="s">
        <v>48</v>
      </c>
      <c r="AB47" s="2" t="str">
        <f t="shared" si="0"/>
        <v>category:network;subCategory:bridge-domain;epg:vlan527_epg;vrf:core;tenant:RCH;name:vlan526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-55;mcastAllow:yes;multiDstPktAct:bd-flood</v>
      </c>
    </row>
    <row r="48" spans="1:28" x14ac:dyDescent="0.25">
      <c r="A48" s="2" t="s">
        <v>90</v>
      </c>
      <c r="B48" s="2" t="s">
        <v>465</v>
      </c>
      <c r="C48" s="2" t="s">
        <v>174</v>
      </c>
      <c r="D48" s="2" t="s">
        <v>104</v>
      </c>
      <c r="E48" s="2" t="s">
        <v>99</v>
      </c>
      <c r="F48" s="2" t="s">
        <v>238</v>
      </c>
      <c r="G48" s="2"/>
      <c r="H48" s="2"/>
      <c r="I48" s="2" t="s">
        <v>36</v>
      </c>
      <c r="J48" s="2" t="s">
        <v>29</v>
      </c>
      <c r="K48" s="2" t="s">
        <v>39</v>
      </c>
      <c r="L48" s="2" t="s">
        <v>41</v>
      </c>
      <c r="M48" s="2" t="s">
        <v>41</v>
      </c>
      <c r="N48" s="2" t="s">
        <v>44</v>
      </c>
      <c r="O48" s="2" t="s">
        <v>20</v>
      </c>
      <c r="P48" s="2" t="s">
        <v>29</v>
      </c>
      <c r="Q48" s="2" t="s">
        <v>20</v>
      </c>
      <c r="R48" s="2"/>
      <c r="S48" s="2" t="s">
        <v>29</v>
      </c>
      <c r="T48" s="2" t="s">
        <v>20</v>
      </c>
      <c r="U48" s="2" t="s">
        <v>20</v>
      </c>
      <c r="V48" s="2" t="s">
        <v>29</v>
      </c>
      <c r="W48" s="2" t="s">
        <v>29</v>
      </c>
      <c r="X48" s="2" t="s">
        <v>32</v>
      </c>
      <c r="Y48" s="2" t="s">
        <v>442</v>
      </c>
      <c r="Z48" s="2" t="s">
        <v>29</v>
      </c>
      <c r="AA48" s="2" t="s">
        <v>48</v>
      </c>
      <c r="AB48" s="2" t="str">
        <f t="shared" si="0"/>
        <v>category:network;subCategory:bridge-domain;epg:vlan528_epg;vrf:core;tenant:RCH;name:vlan527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-56;mcastAllow:yes;multiDstPktAct:bd-flood</v>
      </c>
    </row>
    <row r="49" spans="1:28" x14ac:dyDescent="0.25">
      <c r="A49" s="2" t="s">
        <v>90</v>
      </c>
      <c r="B49" s="2" t="s">
        <v>465</v>
      </c>
      <c r="C49" s="2" t="s">
        <v>175</v>
      </c>
      <c r="D49" s="2" t="s">
        <v>104</v>
      </c>
      <c r="E49" s="2" t="s">
        <v>99</v>
      </c>
      <c r="F49" s="2" t="s">
        <v>239</v>
      </c>
      <c r="G49" s="2"/>
      <c r="H49" s="2"/>
      <c r="I49" s="2" t="s">
        <v>36</v>
      </c>
      <c r="J49" s="2" t="s">
        <v>29</v>
      </c>
      <c r="K49" s="2" t="s">
        <v>39</v>
      </c>
      <c r="L49" s="2" t="s">
        <v>41</v>
      </c>
      <c r="M49" s="2" t="s">
        <v>41</v>
      </c>
      <c r="N49" s="2" t="s">
        <v>44</v>
      </c>
      <c r="O49" s="2" t="s">
        <v>20</v>
      </c>
      <c r="P49" s="2" t="s">
        <v>29</v>
      </c>
      <c r="Q49" s="2" t="s">
        <v>20</v>
      </c>
      <c r="R49" s="2"/>
      <c r="S49" s="2" t="s">
        <v>29</v>
      </c>
      <c r="T49" s="2" t="s">
        <v>20</v>
      </c>
      <c r="U49" s="2" t="s">
        <v>20</v>
      </c>
      <c r="V49" s="2" t="s">
        <v>29</v>
      </c>
      <c r="W49" s="2" t="s">
        <v>29</v>
      </c>
      <c r="X49" s="2" t="s">
        <v>32</v>
      </c>
      <c r="Y49" s="2" t="s">
        <v>443</v>
      </c>
      <c r="Z49" s="2" t="s">
        <v>29</v>
      </c>
      <c r="AA49" s="2" t="s">
        <v>48</v>
      </c>
      <c r="AB49" s="2" t="str">
        <f t="shared" si="0"/>
        <v>category:network;subCategory:bridge-domain;epg:vlan529_epg;vrf:core;tenant:RCH;name:vlan528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-57;mcastAllow:yes;multiDstPktAct:bd-flood</v>
      </c>
    </row>
    <row r="50" spans="1:28" x14ac:dyDescent="0.25">
      <c r="A50" s="2" t="s">
        <v>90</v>
      </c>
      <c r="B50" s="2" t="s">
        <v>465</v>
      </c>
      <c r="C50" s="2" t="s">
        <v>176</v>
      </c>
      <c r="D50" s="2" t="s">
        <v>104</v>
      </c>
      <c r="E50" s="2" t="s">
        <v>99</v>
      </c>
      <c r="F50" s="2" t="s">
        <v>240</v>
      </c>
      <c r="G50" s="2"/>
      <c r="H50" s="2"/>
      <c r="I50" s="2" t="s">
        <v>36</v>
      </c>
      <c r="J50" s="2" t="s">
        <v>29</v>
      </c>
      <c r="K50" s="2" t="s">
        <v>39</v>
      </c>
      <c r="L50" s="2" t="s">
        <v>41</v>
      </c>
      <c r="M50" s="2" t="s">
        <v>41</v>
      </c>
      <c r="N50" s="2" t="s">
        <v>44</v>
      </c>
      <c r="O50" s="2" t="s">
        <v>20</v>
      </c>
      <c r="P50" s="2" t="s">
        <v>29</v>
      </c>
      <c r="Q50" s="2" t="s">
        <v>20</v>
      </c>
      <c r="R50" s="2"/>
      <c r="S50" s="2" t="s">
        <v>29</v>
      </c>
      <c r="T50" s="2" t="s">
        <v>20</v>
      </c>
      <c r="U50" s="2" t="s">
        <v>20</v>
      </c>
      <c r="V50" s="2" t="s">
        <v>29</v>
      </c>
      <c r="W50" s="2" t="s">
        <v>29</v>
      </c>
      <c r="X50" s="2" t="s">
        <v>32</v>
      </c>
      <c r="Y50" s="2" t="s">
        <v>444</v>
      </c>
      <c r="Z50" s="2" t="s">
        <v>29</v>
      </c>
      <c r="AA50" s="2" t="s">
        <v>48</v>
      </c>
      <c r="AB50" s="2" t="str">
        <f t="shared" si="0"/>
        <v>category:network;subCategory:bridge-domain;epg:vlan530_epg;vrf:core;tenant:RCH;name:vlan529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-58;mcastAllow:yes;multiDstPktAct:bd-flood</v>
      </c>
    </row>
    <row r="51" spans="1:28" x14ac:dyDescent="0.25">
      <c r="A51" s="2" t="s">
        <v>90</v>
      </c>
      <c r="B51" s="2" t="s">
        <v>465</v>
      </c>
      <c r="C51" s="2" t="s">
        <v>177</v>
      </c>
      <c r="D51" s="2" t="s">
        <v>104</v>
      </c>
      <c r="E51" s="2" t="s">
        <v>99</v>
      </c>
      <c r="F51" s="2" t="s">
        <v>241</v>
      </c>
      <c r="G51" s="2"/>
      <c r="H51" s="2"/>
      <c r="I51" s="2" t="s">
        <v>36</v>
      </c>
      <c r="J51" s="2" t="s">
        <v>29</v>
      </c>
      <c r="K51" s="2" t="s">
        <v>39</v>
      </c>
      <c r="L51" s="2" t="s">
        <v>41</v>
      </c>
      <c r="M51" s="2" t="s">
        <v>41</v>
      </c>
      <c r="N51" s="2" t="s">
        <v>44</v>
      </c>
      <c r="O51" s="2" t="s">
        <v>20</v>
      </c>
      <c r="P51" s="2" t="s">
        <v>29</v>
      </c>
      <c r="Q51" s="2" t="s">
        <v>20</v>
      </c>
      <c r="R51" s="2"/>
      <c r="S51" s="2" t="s">
        <v>29</v>
      </c>
      <c r="T51" s="2" t="s">
        <v>20</v>
      </c>
      <c r="U51" s="2" t="s">
        <v>20</v>
      </c>
      <c r="V51" s="2" t="s">
        <v>29</v>
      </c>
      <c r="W51" s="2" t="s">
        <v>29</v>
      </c>
      <c r="X51" s="2" t="s">
        <v>32</v>
      </c>
      <c r="Y51" s="2" t="s">
        <v>445</v>
      </c>
      <c r="Z51" s="2" t="s">
        <v>29</v>
      </c>
      <c r="AA51" s="2" t="s">
        <v>48</v>
      </c>
      <c r="AB51" s="2" t="str">
        <f t="shared" si="0"/>
        <v>category:network;subCategory:bridge-domain;epg:vlan531_epg;vrf:core;tenant:RCH;name:vlan530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-59;mcastAllow:yes;multiDstPktAct:bd-flood</v>
      </c>
    </row>
    <row r="52" spans="1:28" x14ac:dyDescent="0.25">
      <c r="A52" s="2" t="s">
        <v>90</v>
      </c>
      <c r="B52" s="2" t="s">
        <v>465</v>
      </c>
      <c r="C52" s="2" t="s">
        <v>178</v>
      </c>
      <c r="D52" s="2" t="s">
        <v>104</v>
      </c>
      <c r="E52" s="2" t="s">
        <v>99</v>
      </c>
      <c r="F52" s="2" t="s">
        <v>242</v>
      </c>
      <c r="G52" s="2"/>
      <c r="H52" s="2"/>
      <c r="I52" s="2" t="s">
        <v>36</v>
      </c>
      <c r="J52" s="2" t="s">
        <v>29</v>
      </c>
      <c r="K52" s="2" t="s">
        <v>39</v>
      </c>
      <c r="L52" s="2" t="s">
        <v>41</v>
      </c>
      <c r="M52" s="2" t="s">
        <v>41</v>
      </c>
      <c r="N52" s="2" t="s">
        <v>44</v>
      </c>
      <c r="O52" s="2" t="s">
        <v>20</v>
      </c>
      <c r="P52" s="2" t="s">
        <v>29</v>
      </c>
      <c r="Q52" s="2" t="s">
        <v>20</v>
      </c>
      <c r="R52" s="2"/>
      <c r="S52" s="2" t="s">
        <v>29</v>
      </c>
      <c r="T52" s="2" t="s">
        <v>20</v>
      </c>
      <c r="U52" s="2" t="s">
        <v>20</v>
      </c>
      <c r="V52" s="2" t="s">
        <v>29</v>
      </c>
      <c r="W52" s="2" t="s">
        <v>29</v>
      </c>
      <c r="X52" s="2" t="s">
        <v>32</v>
      </c>
      <c r="Y52" s="2" t="s">
        <v>446</v>
      </c>
      <c r="Z52" s="2" t="s">
        <v>29</v>
      </c>
      <c r="AA52" s="2" t="s">
        <v>48</v>
      </c>
      <c r="AB52" s="2" t="str">
        <f t="shared" si="0"/>
        <v>category:network;subCategory:bridge-domain;epg:vlan593_epg;vrf:core;tenant:RCH;name:vlan531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-60;mcastAllow:yes;multiDstPktAct:bd-flood</v>
      </c>
    </row>
    <row r="53" spans="1:28" x14ac:dyDescent="0.25">
      <c r="A53" s="2" t="s">
        <v>90</v>
      </c>
      <c r="B53" s="2" t="s">
        <v>465</v>
      </c>
      <c r="C53" s="2" t="s">
        <v>179</v>
      </c>
      <c r="D53" s="2" t="s">
        <v>104</v>
      </c>
      <c r="E53" s="2" t="s">
        <v>99</v>
      </c>
      <c r="F53" s="2" t="s">
        <v>243</v>
      </c>
      <c r="G53" s="2"/>
      <c r="H53" s="2"/>
      <c r="I53" s="2" t="s">
        <v>36</v>
      </c>
      <c r="J53" s="2" t="s">
        <v>29</v>
      </c>
      <c r="K53" s="2" t="s">
        <v>39</v>
      </c>
      <c r="L53" s="2" t="s">
        <v>41</v>
      </c>
      <c r="M53" s="2" t="s">
        <v>41</v>
      </c>
      <c r="N53" s="2" t="s">
        <v>44</v>
      </c>
      <c r="O53" s="2" t="s">
        <v>20</v>
      </c>
      <c r="P53" s="2" t="s">
        <v>29</v>
      </c>
      <c r="Q53" s="2" t="s">
        <v>20</v>
      </c>
      <c r="R53" s="2"/>
      <c r="S53" s="2" t="s">
        <v>29</v>
      </c>
      <c r="T53" s="2" t="s">
        <v>20</v>
      </c>
      <c r="U53" s="2" t="s">
        <v>20</v>
      </c>
      <c r="V53" s="2" t="s">
        <v>29</v>
      </c>
      <c r="W53" s="2" t="s">
        <v>29</v>
      </c>
      <c r="X53" s="2" t="s">
        <v>32</v>
      </c>
      <c r="Y53" s="2" t="s">
        <v>447</v>
      </c>
      <c r="Z53" s="2" t="s">
        <v>29</v>
      </c>
      <c r="AA53" s="2" t="s">
        <v>48</v>
      </c>
      <c r="AB53" s="2" t="str">
        <f t="shared" si="0"/>
        <v>category:network;subCategory:bridge-domain;epg:vlan595_epg;vrf:core;tenant:RCH;name:vlan533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-61;mcastAllow:yes;multiDstPktAct:bd-flood</v>
      </c>
    </row>
    <row r="54" spans="1:28" x14ac:dyDescent="0.25">
      <c r="A54" s="2" t="s">
        <v>90</v>
      </c>
      <c r="B54" s="2" t="s">
        <v>465</v>
      </c>
      <c r="C54" s="2" t="s">
        <v>180</v>
      </c>
      <c r="D54" s="2" t="s">
        <v>104</v>
      </c>
      <c r="E54" s="2" t="s">
        <v>99</v>
      </c>
      <c r="F54" s="2" t="s">
        <v>244</v>
      </c>
      <c r="G54" s="2"/>
      <c r="H54" s="2"/>
      <c r="I54" s="2" t="s">
        <v>36</v>
      </c>
      <c r="J54" s="2" t="s">
        <v>29</v>
      </c>
      <c r="K54" s="2" t="s">
        <v>39</v>
      </c>
      <c r="L54" s="2" t="s">
        <v>41</v>
      </c>
      <c r="M54" s="2" t="s">
        <v>41</v>
      </c>
      <c r="N54" s="2" t="s">
        <v>44</v>
      </c>
      <c r="O54" s="2" t="s">
        <v>20</v>
      </c>
      <c r="P54" s="2" t="s">
        <v>29</v>
      </c>
      <c r="Q54" s="2" t="s">
        <v>20</v>
      </c>
      <c r="R54" s="2"/>
      <c r="S54" s="2" t="s">
        <v>29</v>
      </c>
      <c r="T54" s="2" t="s">
        <v>20</v>
      </c>
      <c r="U54" s="2" t="s">
        <v>20</v>
      </c>
      <c r="V54" s="2" t="s">
        <v>29</v>
      </c>
      <c r="W54" s="2" t="s">
        <v>29</v>
      </c>
      <c r="X54" s="2" t="s">
        <v>32</v>
      </c>
      <c r="Y54" s="2" t="s">
        <v>448</v>
      </c>
      <c r="Z54" s="2" t="s">
        <v>29</v>
      </c>
      <c r="AA54" s="2" t="s">
        <v>48</v>
      </c>
      <c r="AB54" s="2" t="str">
        <f t="shared" si="0"/>
        <v>category:network;subCategory:bridge-domain;epg:vlan901_epg;vrf:core;tenant:RCH;name:vlan534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-62;mcastAllow:yes;multiDstPktAct:bd-flood</v>
      </c>
    </row>
    <row r="55" spans="1:28" x14ac:dyDescent="0.25">
      <c r="A55" s="2" t="s">
        <v>90</v>
      </c>
      <c r="B55" s="2" t="s">
        <v>465</v>
      </c>
      <c r="C55" s="2" t="s">
        <v>181</v>
      </c>
      <c r="D55" s="2" t="s">
        <v>104</v>
      </c>
      <c r="E55" s="2" t="s">
        <v>99</v>
      </c>
      <c r="F55" s="2" t="s">
        <v>245</v>
      </c>
      <c r="G55" s="2"/>
      <c r="H55" s="2"/>
      <c r="I55" s="2" t="s">
        <v>36</v>
      </c>
      <c r="J55" s="2" t="s">
        <v>29</v>
      </c>
      <c r="K55" s="2" t="s">
        <v>39</v>
      </c>
      <c r="L55" s="2" t="s">
        <v>41</v>
      </c>
      <c r="M55" s="2" t="s">
        <v>41</v>
      </c>
      <c r="N55" s="2" t="s">
        <v>44</v>
      </c>
      <c r="O55" s="2" t="s">
        <v>20</v>
      </c>
      <c r="P55" s="2" t="s">
        <v>29</v>
      </c>
      <c r="Q55" s="2" t="s">
        <v>20</v>
      </c>
      <c r="R55" s="2"/>
      <c r="S55" s="2" t="s">
        <v>29</v>
      </c>
      <c r="T55" s="2" t="s">
        <v>20</v>
      </c>
      <c r="U55" s="2" t="s">
        <v>20</v>
      </c>
      <c r="V55" s="2" t="s">
        <v>29</v>
      </c>
      <c r="W55" s="2" t="s">
        <v>29</v>
      </c>
      <c r="X55" s="2" t="s">
        <v>32</v>
      </c>
      <c r="Y55" s="2" t="s">
        <v>449</v>
      </c>
      <c r="Z55" s="2" t="s">
        <v>29</v>
      </c>
      <c r="AA55" s="2" t="s">
        <v>48</v>
      </c>
      <c r="AB55" s="2" t="str">
        <f t="shared" si="0"/>
        <v>category:network;subCategory:bridge-domain;epg:vlan902_epg;vrf:core;tenant:RCH;name:vlan535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-63;mcastAllow:yes;multiDstPktAct:bd-flood</v>
      </c>
    </row>
    <row r="56" spans="1:28" x14ac:dyDescent="0.25">
      <c r="A56" s="2" t="s">
        <v>90</v>
      </c>
      <c r="B56" s="2" t="s">
        <v>465</v>
      </c>
      <c r="C56" s="2" t="s">
        <v>182</v>
      </c>
      <c r="D56" s="2" t="s">
        <v>104</v>
      </c>
      <c r="E56" s="2" t="s">
        <v>99</v>
      </c>
      <c r="F56" s="2" t="s">
        <v>246</v>
      </c>
      <c r="G56" s="2"/>
      <c r="H56" s="2"/>
      <c r="I56" s="2" t="s">
        <v>36</v>
      </c>
      <c r="J56" s="2" t="s">
        <v>29</v>
      </c>
      <c r="K56" s="2" t="s">
        <v>39</v>
      </c>
      <c r="L56" s="2" t="s">
        <v>41</v>
      </c>
      <c r="M56" s="2" t="s">
        <v>41</v>
      </c>
      <c r="N56" s="2" t="s">
        <v>44</v>
      </c>
      <c r="O56" s="2" t="s">
        <v>20</v>
      </c>
      <c r="P56" s="2" t="s">
        <v>29</v>
      </c>
      <c r="Q56" s="2" t="s">
        <v>20</v>
      </c>
      <c r="R56" s="2"/>
      <c r="S56" s="2" t="s">
        <v>29</v>
      </c>
      <c r="T56" s="2" t="s">
        <v>20</v>
      </c>
      <c r="U56" s="2" t="s">
        <v>20</v>
      </c>
      <c r="V56" s="2" t="s">
        <v>29</v>
      </c>
      <c r="W56" s="2" t="s">
        <v>29</v>
      </c>
      <c r="X56" s="2" t="s">
        <v>32</v>
      </c>
      <c r="Y56" s="2" t="s">
        <v>450</v>
      </c>
      <c r="Z56" s="2" t="s">
        <v>29</v>
      </c>
      <c r="AA56" s="2" t="s">
        <v>48</v>
      </c>
      <c r="AB56" s="2" t="str">
        <f t="shared" si="0"/>
        <v>category:network;subCategory:bridge-domain;epg:vlan903_epg;vrf:core;tenant:RCH;name:vlan536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-64;mcastAllow:yes;multiDstPktAct:bd-flood</v>
      </c>
    </row>
    <row r="57" spans="1:28" x14ac:dyDescent="0.25">
      <c r="A57" s="2" t="s">
        <v>90</v>
      </c>
      <c r="B57" s="2" t="s">
        <v>465</v>
      </c>
      <c r="C57" s="2" t="s">
        <v>183</v>
      </c>
      <c r="D57" s="2" t="s">
        <v>104</v>
      </c>
      <c r="E57" s="2" t="s">
        <v>99</v>
      </c>
      <c r="F57" s="2" t="s">
        <v>247</v>
      </c>
      <c r="G57" s="2"/>
      <c r="H57" s="2"/>
      <c r="I57" s="2" t="s">
        <v>36</v>
      </c>
      <c r="J57" s="2" t="s">
        <v>29</v>
      </c>
      <c r="K57" s="2" t="s">
        <v>39</v>
      </c>
      <c r="L57" s="2" t="s">
        <v>41</v>
      </c>
      <c r="M57" s="2" t="s">
        <v>41</v>
      </c>
      <c r="N57" s="2" t="s">
        <v>44</v>
      </c>
      <c r="O57" s="2" t="s">
        <v>20</v>
      </c>
      <c r="P57" s="2" t="s">
        <v>29</v>
      </c>
      <c r="Q57" s="2" t="s">
        <v>20</v>
      </c>
      <c r="R57" s="2"/>
      <c r="S57" s="2" t="s">
        <v>29</v>
      </c>
      <c r="T57" s="2" t="s">
        <v>20</v>
      </c>
      <c r="U57" s="2" t="s">
        <v>20</v>
      </c>
      <c r="V57" s="2" t="s">
        <v>29</v>
      </c>
      <c r="W57" s="2" t="s">
        <v>29</v>
      </c>
      <c r="X57" s="2" t="s">
        <v>32</v>
      </c>
      <c r="Y57" s="2" t="s">
        <v>451</v>
      </c>
      <c r="Z57" s="2" t="s">
        <v>29</v>
      </c>
      <c r="AA57" s="2" t="s">
        <v>48</v>
      </c>
      <c r="AB57" s="2" t="str">
        <f t="shared" si="0"/>
        <v>category:network;subCategory:bridge-domain;epg:vlan904_epg;vrf:core;tenant:RCH;name:vlan593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-65;mcastAllow:yes;multiDstPktAct:bd-flood</v>
      </c>
    </row>
    <row r="58" spans="1:28" x14ac:dyDescent="0.25">
      <c r="A58" s="2" t="s">
        <v>90</v>
      </c>
      <c r="B58" s="2" t="s">
        <v>465</v>
      </c>
      <c r="C58" s="2" t="s">
        <v>184</v>
      </c>
      <c r="D58" s="2" t="s">
        <v>104</v>
      </c>
      <c r="E58" s="2" t="s">
        <v>99</v>
      </c>
      <c r="F58" s="2" t="s">
        <v>248</v>
      </c>
      <c r="G58" s="2"/>
      <c r="H58" s="2"/>
      <c r="I58" s="2" t="s">
        <v>36</v>
      </c>
      <c r="J58" s="2" t="s">
        <v>29</v>
      </c>
      <c r="K58" s="2" t="s">
        <v>39</v>
      </c>
      <c r="L58" s="2" t="s">
        <v>41</v>
      </c>
      <c r="M58" s="2" t="s">
        <v>41</v>
      </c>
      <c r="N58" s="2" t="s">
        <v>44</v>
      </c>
      <c r="O58" s="2" t="s">
        <v>20</v>
      </c>
      <c r="P58" s="2" t="s">
        <v>29</v>
      </c>
      <c r="Q58" s="2" t="s">
        <v>20</v>
      </c>
      <c r="R58" s="2"/>
      <c r="S58" s="2" t="s">
        <v>29</v>
      </c>
      <c r="T58" s="2" t="s">
        <v>20</v>
      </c>
      <c r="U58" s="2" t="s">
        <v>20</v>
      </c>
      <c r="V58" s="2" t="s">
        <v>29</v>
      </c>
      <c r="W58" s="2" t="s">
        <v>29</v>
      </c>
      <c r="X58" s="2" t="s">
        <v>32</v>
      </c>
      <c r="Y58" s="2" t="s">
        <v>452</v>
      </c>
      <c r="Z58" s="2" t="s">
        <v>29</v>
      </c>
      <c r="AA58" s="2" t="s">
        <v>48</v>
      </c>
      <c r="AB58" s="2" t="str">
        <f t="shared" si="0"/>
        <v>category:network;subCategory:bridge-domain;epg:vlan905_epg;vrf:core;tenant:RCH;name:vlan595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-66;mcastAllow:yes;multiDstPktAct:bd-flood</v>
      </c>
    </row>
    <row r="59" spans="1:28" x14ac:dyDescent="0.25">
      <c r="A59" s="2" t="s">
        <v>90</v>
      </c>
      <c r="B59" s="2" t="s">
        <v>465</v>
      </c>
      <c r="C59" s="2" t="s">
        <v>185</v>
      </c>
      <c r="D59" s="2" t="s">
        <v>104</v>
      </c>
      <c r="E59" s="2" t="s">
        <v>99</v>
      </c>
      <c r="F59" s="2" t="s">
        <v>249</v>
      </c>
      <c r="G59" s="2"/>
      <c r="H59" s="2"/>
      <c r="I59" s="2" t="s">
        <v>36</v>
      </c>
      <c r="J59" s="2" t="s">
        <v>29</v>
      </c>
      <c r="K59" s="2" t="s">
        <v>39</v>
      </c>
      <c r="L59" s="2" t="s">
        <v>41</v>
      </c>
      <c r="M59" s="2" t="s">
        <v>41</v>
      </c>
      <c r="N59" s="2" t="s">
        <v>44</v>
      </c>
      <c r="O59" s="2" t="s">
        <v>20</v>
      </c>
      <c r="P59" s="2" t="s">
        <v>29</v>
      </c>
      <c r="Q59" s="2" t="s">
        <v>20</v>
      </c>
      <c r="R59" s="2"/>
      <c r="S59" s="2" t="s">
        <v>29</v>
      </c>
      <c r="T59" s="2" t="s">
        <v>20</v>
      </c>
      <c r="U59" s="2" t="s">
        <v>20</v>
      </c>
      <c r="V59" s="2" t="s">
        <v>29</v>
      </c>
      <c r="W59" s="2" t="s">
        <v>29</v>
      </c>
      <c r="X59" s="2" t="s">
        <v>32</v>
      </c>
      <c r="Y59" s="2" t="s">
        <v>453</v>
      </c>
      <c r="Z59" s="2" t="s">
        <v>29</v>
      </c>
      <c r="AA59" s="2" t="s">
        <v>48</v>
      </c>
      <c r="AB59" s="2" t="str">
        <f t="shared" si="0"/>
        <v>category:network;subCategory:bridge-domain;epg:vlan906_epg;vrf:core;tenant:RCH;name:vlan901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-67;mcastAllow:yes;multiDstPktAct:bd-flood</v>
      </c>
    </row>
    <row r="60" spans="1:28" x14ac:dyDescent="0.25">
      <c r="A60" s="2" t="s">
        <v>90</v>
      </c>
      <c r="B60" s="2" t="s">
        <v>465</v>
      </c>
      <c r="C60" s="2" t="s">
        <v>186</v>
      </c>
      <c r="D60" s="2" t="s">
        <v>104</v>
      </c>
      <c r="E60" s="2" t="s">
        <v>99</v>
      </c>
      <c r="F60" s="2" t="s">
        <v>250</v>
      </c>
      <c r="G60" s="2"/>
      <c r="H60" s="2"/>
      <c r="I60" s="2" t="s">
        <v>36</v>
      </c>
      <c r="J60" s="2" t="s">
        <v>29</v>
      </c>
      <c r="K60" s="2" t="s">
        <v>39</v>
      </c>
      <c r="L60" s="2" t="s">
        <v>41</v>
      </c>
      <c r="M60" s="2" t="s">
        <v>41</v>
      </c>
      <c r="N60" s="2" t="s">
        <v>44</v>
      </c>
      <c r="O60" s="2" t="s">
        <v>20</v>
      </c>
      <c r="P60" s="2" t="s">
        <v>29</v>
      </c>
      <c r="Q60" s="2" t="s">
        <v>20</v>
      </c>
      <c r="R60" s="2"/>
      <c r="S60" s="2" t="s">
        <v>29</v>
      </c>
      <c r="T60" s="2" t="s">
        <v>20</v>
      </c>
      <c r="U60" s="2" t="s">
        <v>20</v>
      </c>
      <c r="V60" s="2" t="s">
        <v>29</v>
      </c>
      <c r="W60" s="2" t="s">
        <v>29</v>
      </c>
      <c r="X60" s="2" t="s">
        <v>32</v>
      </c>
      <c r="Y60" s="2" t="s">
        <v>454</v>
      </c>
      <c r="Z60" s="2" t="s">
        <v>29</v>
      </c>
      <c r="AA60" s="2" t="s">
        <v>48</v>
      </c>
      <c r="AB60" s="2" t="str">
        <f t="shared" si="0"/>
        <v>category:network;subCategory:bridge-domain;epg:vlan907_epg;vrf:core;tenant:RCH;name:vlan902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-68;mcastAllow:yes;multiDstPktAct:bd-flood</v>
      </c>
    </row>
    <row r="61" spans="1:28" x14ac:dyDescent="0.25">
      <c r="A61" s="2" t="s">
        <v>90</v>
      </c>
      <c r="B61" s="2" t="s">
        <v>465</v>
      </c>
      <c r="C61" s="2" t="s">
        <v>187</v>
      </c>
      <c r="D61" s="2" t="s">
        <v>104</v>
      </c>
      <c r="E61" s="2" t="s">
        <v>99</v>
      </c>
      <c r="F61" s="2" t="s">
        <v>251</v>
      </c>
      <c r="G61" s="2"/>
      <c r="H61" s="2"/>
      <c r="I61" s="2" t="s">
        <v>36</v>
      </c>
      <c r="J61" s="2" t="s">
        <v>29</v>
      </c>
      <c r="K61" s="2" t="s">
        <v>39</v>
      </c>
      <c r="L61" s="2" t="s">
        <v>41</v>
      </c>
      <c r="M61" s="2" t="s">
        <v>41</v>
      </c>
      <c r="N61" s="2" t="s">
        <v>44</v>
      </c>
      <c r="O61" s="2" t="s">
        <v>20</v>
      </c>
      <c r="P61" s="2" t="s">
        <v>29</v>
      </c>
      <c r="Q61" s="2" t="s">
        <v>20</v>
      </c>
      <c r="R61" s="2"/>
      <c r="S61" s="2" t="s">
        <v>29</v>
      </c>
      <c r="T61" s="2" t="s">
        <v>20</v>
      </c>
      <c r="U61" s="2" t="s">
        <v>20</v>
      </c>
      <c r="V61" s="2" t="s">
        <v>29</v>
      </c>
      <c r="W61" s="2" t="s">
        <v>29</v>
      </c>
      <c r="X61" s="2" t="s">
        <v>32</v>
      </c>
      <c r="Y61" s="2" t="s">
        <v>455</v>
      </c>
      <c r="Z61" s="2" t="s">
        <v>29</v>
      </c>
      <c r="AA61" s="2" t="s">
        <v>48</v>
      </c>
      <c r="AB61" s="2" t="str">
        <f t="shared" si="0"/>
        <v>category:network;subCategory:bridge-domain;epg:vlan908_epg;vrf:core;tenant:RCH;name:vlan903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-69;mcastAllow:yes;multiDstPktAct:bd-flood</v>
      </c>
    </row>
    <row r="62" spans="1:28" x14ac:dyDescent="0.25">
      <c r="A62" s="2" t="s">
        <v>90</v>
      </c>
      <c r="B62" s="2" t="s">
        <v>465</v>
      </c>
      <c r="C62" s="2" t="s">
        <v>188</v>
      </c>
      <c r="D62" s="2" t="s">
        <v>104</v>
      </c>
      <c r="E62" s="2" t="s">
        <v>99</v>
      </c>
      <c r="F62" s="2" t="s">
        <v>252</v>
      </c>
      <c r="G62" s="2"/>
      <c r="H62" s="2"/>
      <c r="I62" s="2" t="s">
        <v>36</v>
      </c>
      <c r="J62" s="2" t="s">
        <v>29</v>
      </c>
      <c r="K62" s="2" t="s">
        <v>39</v>
      </c>
      <c r="L62" s="2" t="s">
        <v>41</v>
      </c>
      <c r="M62" s="2" t="s">
        <v>41</v>
      </c>
      <c r="N62" s="2" t="s">
        <v>44</v>
      </c>
      <c r="O62" s="2" t="s">
        <v>20</v>
      </c>
      <c r="P62" s="2" t="s">
        <v>29</v>
      </c>
      <c r="Q62" s="2" t="s">
        <v>20</v>
      </c>
      <c r="R62" s="2"/>
      <c r="S62" s="2" t="s">
        <v>29</v>
      </c>
      <c r="T62" s="2" t="s">
        <v>20</v>
      </c>
      <c r="U62" s="2" t="s">
        <v>20</v>
      </c>
      <c r="V62" s="2" t="s">
        <v>29</v>
      </c>
      <c r="W62" s="2" t="s">
        <v>29</v>
      </c>
      <c r="X62" s="2" t="s">
        <v>32</v>
      </c>
      <c r="Y62" s="2" t="s">
        <v>456</v>
      </c>
      <c r="Z62" s="2" t="s">
        <v>29</v>
      </c>
      <c r="AA62" s="2" t="s">
        <v>48</v>
      </c>
      <c r="AB62" s="2" t="str">
        <f t="shared" si="0"/>
        <v>category:network;subCategory:bridge-domain;epg:vlan909_epg;vrf:core;tenant:RCH;name:vlan904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-70;mcastAllow:yes;multiDstPktAct:bd-flood</v>
      </c>
    </row>
    <row r="63" spans="1:28" x14ac:dyDescent="0.25">
      <c r="A63" s="2" t="s">
        <v>90</v>
      </c>
      <c r="B63" s="2" t="s">
        <v>465</v>
      </c>
      <c r="C63" s="2" t="s">
        <v>188</v>
      </c>
      <c r="D63" s="2" t="s">
        <v>104</v>
      </c>
      <c r="E63" s="2" t="s">
        <v>99</v>
      </c>
      <c r="F63" s="2" t="s">
        <v>253</v>
      </c>
      <c r="G63" s="2"/>
      <c r="H63" s="2"/>
      <c r="I63" s="2" t="s">
        <v>36</v>
      </c>
      <c r="J63" s="2" t="s">
        <v>29</v>
      </c>
      <c r="K63" s="2" t="s">
        <v>39</v>
      </c>
      <c r="L63" s="2" t="s">
        <v>41</v>
      </c>
      <c r="M63" s="2" t="s">
        <v>41</v>
      </c>
      <c r="N63" s="2" t="s">
        <v>44</v>
      </c>
      <c r="O63" s="2" t="s">
        <v>20</v>
      </c>
      <c r="P63" s="2" t="s">
        <v>29</v>
      </c>
      <c r="Q63" s="2" t="s">
        <v>20</v>
      </c>
      <c r="R63" s="2"/>
      <c r="S63" s="2" t="s">
        <v>29</v>
      </c>
      <c r="T63" s="2" t="s">
        <v>20</v>
      </c>
      <c r="U63" s="2" t="s">
        <v>20</v>
      </c>
      <c r="V63" s="2" t="s">
        <v>29</v>
      </c>
      <c r="W63" s="2" t="s">
        <v>29</v>
      </c>
      <c r="X63" s="2" t="s">
        <v>32</v>
      </c>
      <c r="Y63" s="2" t="s">
        <v>457</v>
      </c>
      <c r="Z63" s="2" t="s">
        <v>29</v>
      </c>
      <c r="AA63" s="2" t="s">
        <v>48</v>
      </c>
      <c r="AB63" s="2" t="str">
        <f t="shared" si="0"/>
        <v>category:network;subCategory:bridge-domain;epg:vlan909_epg;vrf:core;tenant:RCH;name:vlan905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-71;mcastAllow:yes;multiDstPktAct:bd-flood</v>
      </c>
    </row>
    <row r="64" spans="1:28" x14ac:dyDescent="0.25">
      <c r="A64" s="2" t="s">
        <v>90</v>
      </c>
      <c r="B64" s="2" t="s">
        <v>465</v>
      </c>
      <c r="C64" s="2" t="s">
        <v>189</v>
      </c>
      <c r="D64" s="2" t="s">
        <v>104</v>
      </c>
      <c r="E64" s="2" t="s">
        <v>99</v>
      </c>
      <c r="F64" s="2" t="s">
        <v>254</v>
      </c>
      <c r="G64" s="2"/>
      <c r="H64" s="2"/>
      <c r="I64" s="2" t="s">
        <v>36</v>
      </c>
      <c r="J64" s="2" t="s">
        <v>29</v>
      </c>
      <c r="K64" s="2" t="s">
        <v>39</v>
      </c>
      <c r="L64" s="2" t="s">
        <v>41</v>
      </c>
      <c r="M64" s="2" t="s">
        <v>41</v>
      </c>
      <c r="N64" s="2" t="s">
        <v>44</v>
      </c>
      <c r="O64" s="2" t="s">
        <v>20</v>
      </c>
      <c r="P64" s="2" t="s">
        <v>29</v>
      </c>
      <c r="Q64" s="2" t="s">
        <v>20</v>
      </c>
      <c r="R64" s="2"/>
      <c r="S64" s="2" t="s">
        <v>29</v>
      </c>
      <c r="T64" s="2" t="s">
        <v>20</v>
      </c>
      <c r="U64" s="2" t="s">
        <v>20</v>
      </c>
      <c r="V64" s="2" t="s">
        <v>29</v>
      </c>
      <c r="W64" s="2" t="s">
        <v>29</v>
      </c>
      <c r="X64" s="2" t="s">
        <v>32</v>
      </c>
      <c r="Y64" s="2" t="s">
        <v>458</v>
      </c>
      <c r="Z64" s="2" t="s">
        <v>29</v>
      </c>
      <c r="AA64" s="2" t="s">
        <v>48</v>
      </c>
      <c r="AB64" s="2" t="str">
        <f t="shared" si="0"/>
        <v>category:network;subCategory:bridge-domain;epg:vlan910_epg;vrf:core;tenant:RCH;name:vlan906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-72;mcastAllow:yes;multiDstPktAct:bd-flood</v>
      </c>
    </row>
    <row r="65" spans="1:28" x14ac:dyDescent="0.25">
      <c r="A65" s="2" t="s">
        <v>90</v>
      </c>
      <c r="B65" s="2" t="s">
        <v>465</v>
      </c>
      <c r="C65" s="2" t="s">
        <v>190</v>
      </c>
      <c r="D65" s="2" t="s">
        <v>104</v>
      </c>
      <c r="E65" s="2" t="s">
        <v>99</v>
      </c>
      <c r="F65" s="2" t="s">
        <v>255</v>
      </c>
      <c r="G65" s="2"/>
      <c r="H65" s="2"/>
      <c r="I65" s="2" t="s">
        <v>36</v>
      </c>
      <c r="J65" s="2" t="s">
        <v>29</v>
      </c>
      <c r="K65" s="2" t="s">
        <v>39</v>
      </c>
      <c r="L65" s="2" t="s">
        <v>41</v>
      </c>
      <c r="M65" s="2" t="s">
        <v>41</v>
      </c>
      <c r="N65" s="2" t="s">
        <v>44</v>
      </c>
      <c r="O65" s="2" t="s">
        <v>20</v>
      </c>
      <c r="P65" s="2" t="s">
        <v>29</v>
      </c>
      <c r="Q65" s="2" t="s">
        <v>20</v>
      </c>
      <c r="R65" s="2"/>
      <c r="S65" s="2" t="s">
        <v>29</v>
      </c>
      <c r="T65" s="2" t="s">
        <v>20</v>
      </c>
      <c r="U65" s="2" t="s">
        <v>20</v>
      </c>
      <c r="V65" s="2" t="s">
        <v>29</v>
      </c>
      <c r="W65" s="2" t="s">
        <v>29</v>
      </c>
      <c r="X65" s="2" t="s">
        <v>32</v>
      </c>
      <c r="Y65" s="2" t="s">
        <v>459</v>
      </c>
      <c r="Z65" s="2" t="s">
        <v>29</v>
      </c>
      <c r="AA65" s="2" t="s">
        <v>48</v>
      </c>
      <c r="AB65" s="2" t="str">
        <f t="shared" si="0"/>
        <v>category:network;subCategory:bridge-domain;epg:vlan911_epg;vrf:core;tenant:RCH;name:vlan907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-73;mcastAllow:yes;multiDstPktAct:bd-flood</v>
      </c>
    </row>
    <row r="66" spans="1:28" x14ac:dyDescent="0.25">
      <c r="A66" s="2" t="s">
        <v>90</v>
      </c>
      <c r="B66" s="2" t="s">
        <v>465</v>
      </c>
      <c r="C66" s="2" t="s">
        <v>191</v>
      </c>
      <c r="D66" s="2" t="s">
        <v>104</v>
      </c>
      <c r="E66" s="2" t="s">
        <v>99</v>
      </c>
      <c r="F66" s="2" t="s">
        <v>256</v>
      </c>
      <c r="G66" s="2"/>
      <c r="H66" s="2"/>
      <c r="I66" s="2" t="s">
        <v>36</v>
      </c>
      <c r="J66" s="2" t="s">
        <v>29</v>
      </c>
      <c r="K66" s="2" t="s">
        <v>39</v>
      </c>
      <c r="L66" s="2" t="s">
        <v>41</v>
      </c>
      <c r="M66" s="2" t="s">
        <v>41</v>
      </c>
      <c r="N66" s="2" t="s">
        <v>44</v>
      </c>
      <c r="O66" s="2" t="s">
        <v>20</v>
      </c>
      <c r="P66" s="2" t="s">
        <v>29</v>
      </c>
      <c r="Q66" s="2" t="s">
        <v>20</v>
      </c>
      <c r="R66" s="2"/>
      <c r="S66" s="2" t="s">
        <v>29</v>
      </c>
      <c r="T66" s="2" t="s">
        <v>20</v>
      </c>
      <c r="U66" s="2" t="s">
        <v>20</v>
      </c>
      <c r="V66" s="2" t="s">
        <v>29</v>
      </c>
      <c r="W66" s="2" t="s">
        <v>29</v>
      </c>
      <c r="X66" s="2" t="s">
        <v>32</v>
      </c>
      <c r="Y66" s="2" t="s">
        <v>460</v>
      </c>
      <c r="Z66" s="2" t="s">
        <v>29</v>
      </c>
      <c r="AA66" s="2" t="s">
        <v>48</v>
      </c>
      <c r="AB66" s="2" t="str">
        <f t="shared" si="0"/>
        <v>category:network;subCategory:bridge-domain;epg:vlan912_epg;vrf:core;tenant:RCH;name:vlan908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-74;mcastAllow:yes;multiDstPktAct:bd-flood</v>
      </c>
    </row>
    <row r="67" spans="1:28" x14ac:dyDescent="0.25">
      <c r="A67" s="2" t="s">
        <v>90</v>
      </c>
      <c r="B67" s="2" t="s">
        <v>465</v>
      </c>
      <c r="C67" s="2" t="s">
        <v>257</v>
      </c>
      <c r="D67" s="2" t="s">
        <v>104</v>
      </c>
      <c r="E67" s="2" t="s">
        <v>99</v>
      </c>
      <c r="F67" s="2" t="s">
        <v>257</v>
      </c>
      <c r="G67" s="2"/>
      <c r="H67" s="2"/>
      <c r="I67" s="2" t="s">
        <v>36</v>
      </c>
      <c r="J67" s="2" t="s">
        <v>29</v>
      </c>
      <c r="K67" s="2" t="s">
        <v>39</v>
      </c>
      <c r="L67" s="2" t="s">
        <v>41</v>
      </c>
      <c r="M67" s="2" t="s">
        <v>41</v>
      </c>
      <c r="N67" s="2" t="s">
        <v>44</v>
      </c>
      <c r="O67" s="2" t="s">
        <v>20</v>
      </c>
      <c r="P67" s="2" t="s">
        <v>29</v>
      </c>
      <c r="Q67" s="2" t="s">
        <v>20</v>
      </c>
      <c r="R67" s="2"/>
      <c r="S67" s="2" t="s">
        <v>29</v>
      </c>
      <c r="T67" s="2" t="s">
        <v>20</v>
      </c>
      <c r="U67" s="2" t="s">
        <v>20</v>
      </c>
      <c r="V67" s="2" t="s">
        <v>29</v>
      </c>
      <c r="W67" s="2" t="s">
        <v>29</v>
      </c>
      <c r="X67" s="2" t="s">
        <v>32</v>
      </c>
      <c r="Y67" s="2" t="s">
        <v>461</v>
      </c>
      <c r="Z67" s="2" t="s">
        <v>29</v>
      </c>
      <c r="AA67" s="2" t="s">
        <v>48</v>
      </c>
      <c r="AB67" s="2" t="str">
        <f t="shared" ref="AB67:AB70" si="1">CONCATENATE($A$1,":",A67,";",$B$1,":",B67,";",$C$1,":",C67,";",$D$1,":",D67,";",$E$1,":",E67,";",$F$1,":",F67,";",$G$1,":",G67,";",$H$1,":",H67,";",$I$1,":",I67,";",$J$1,":",J67,";",$K$1,":",K67,";",$L$1,":",L67,";",$M$1,":",M67,";",$N$1,":",N67,";",$O$1,":",O67,";",$P$1,":",P67,";",$Q$1,":",Q67,";",$R$1,":",R67,";",$S$1,":",S67,";",$T$1,":",T67,";",$U$1,":",U67,";",$V$1,":",V67,";",$W$1,":",W67,";",$X$1,":",X67,";",$Y$1,":",SUBSTITUTE(Y67,":","-"),";",$Z$1,":",Z67,";",$AA$1,":",AA67)</f>
        <v>category:network;subCategory:bridge-domain;epg:vlan909_bd;vrf:core;tenant:RCH;name:vlan909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-75;mcastAllow:yes;multiDstPktAct:bd-flood</v>
      </c>
    </row>
    <row r="68" spans="1:28" x14ac:dyDescent="0.25">
      <c r="A68" s="2" t="s">
        <v>90</v>
      </c>
      <c r="B68" s="2" t="s">
        <v>465</v>
      </c>
      <c r="C68" s="2" t="s">
        <v>258</v>
      </c>
      <c r="D68" s="2" t="s">
        <v>104</v>
      </c>
      <c r="E68" s="2" t="s">
        <v>99</v>
      </c>
      <c r="F68" s="2" t="s">
        <v>258</v>
      </c>
      <c r="G68" s="2"/>
      <c r="H68" s="2"/>
      <c r="I68" s="2" t="s">
        <v>36</v>
      </c>
      <c r="J68" s="2" t="s">
        <v>29</v>
      </c>
      <c r="K68" s="2" t="s">
        <v>39</v>
      </c>
      <c r="L68" s="2" t="s">
        <v>41</v>
      </c>
      <c r="M68" s="2" t="s">
        <v>41</v>
      </c>
      <c r="N68" s="2" t="s">
        <v>44</v>
      </c>
      <c r="O68" s="2" t="s">
        <v>20</v>
      </c>
      <c r="P68" s="2" t="s">
        <v>29</v>
      </c>
      <c r="Q68" s="2" t="s">
        <v>20</v>
      </c>
      <c r="R68" s="2"/>
      <c r="S68" s="2" t="s">
        <v>29</v>
      </c>
      <c r="T68" s="2" t="s">
        <v>20</v>
      </c>
      <c r="U68" s="2" t="s">
        <v>20</v>
      </c>
      <c r="V68" s="2" t="s">
        <v>29</v>
      </c>
      <c r="W68" s="2" t="s">
        <v>29</v>
      </c>
      <c r="X68" s="2" t="s">
        <v>32</v>
      </c>
      <c r="Y68" s="2" t="s">
        <v>462</v>
      </c>
      <c r="Z68" s="2" t="s">
        <v>29</v>
      </c>
      <c r="AA68" s="2" t="s">
        <v>48</v>
      </c>
      <c r="AB68" s="2" t="str">
        <f t="shared" si="1"/>
        <v>category:network;subCategory:bridge-domain;epg:vlan910_bd;vrf:core;tenant:RCH;name:vlan910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-76;mcastAllow:yes;multiDstPktAct:bd-flood</v>
      </c>
    </row>
    <row r="69" spans="1:28" x14ac:dyDescent="0.25">
      <c r="A69" s="2" t="s">
        <v>90</v>
      </c>
      <c r="B69" s="2" t="s">
        <v>465</v>
      </c>
      <c r="C69" s="2" t="s">
        <v>259</v>
      </c>
      <c r="D69" s="2" t="s">
        <v>104</v>
      </c>
      <c r="E69" s="2" t="s">
        <v>99</v>
      </c>
      <c r="F69" s="2" t="s">
        <v>259</v>
      </c>
      <c r="G69" s="2"/>
      <c r="H69" s="2"/>
      <c r="I69" s="2" t="s">
        <v>36</v>
      </c>
      <c r="J69" s="2" t="s">
        <v>29</v>
      </c>
      <c r="K69" s="2" t="s">
        <v>39</v>
      </c>
      <c r="L69" s="2" t="s">
        <v>41</v>
      </c>
      <c r="M69" s="2" t="s">
        <v>41</v>
      </c>
      <c r="N69" s="2" t="s">
        <v>44</v>
      </c>
      <c r="O69" s="2" t="s">
        <v>20</v>
      </c>
      <c r="P69" s="2" t="s">
        <v>29</v>
      </c>
      <c r="Q69" s="2" t="s">
        <v>20</v>
      </c>
      <c r="R69" s="2"/>
      <c r="S69" s="2" t="s">
        <v>29</v>
      </c>
      <c r="T69" s="2" t="s">
        <v>20</v>
      </c>
      <c r="U69" s="2" t="s">
        <v>20</v>
      </c>
      <c r="V69" s="2" t="s">
        <v>29</v>
      </c>
      <c r="W69" s="2" t="s">
        <v>29</v>
      </c>
      <c r="X69" s="2" t="s">
        <v>32</v>
      </c>
      <c r="Y69" s="2" t="s">
        <v>463</v>
      </c>
      <c r="Z69" s="2" t="s">
        <v>29</v>
      </c>
      <c r="AA69" s="2" t="s">
        <v>48</v>
      </c>
      <c r="AB69" s="2" t="str">
        <f t="shared" si="1"/>
        <v>category:network;subCategory:bridge-domain;epg:vlan911_bd;vrf:core;tenant:RCH;name:vlan911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-77;mcastAllow:yes;multiDstPktAct:bd-flood</v>
      </c>
    </row>
    <row r="70" spans="1:28" x14ac:dyDescent="0.25">
      <c r="A70" s="2" t="s">
        <v>90</v>
      </c>
      <c r="B70" s="2" t="s">
        <v>465</v>
      </c>
      <c r="C70" s="2" t="s">
        <v>260</v>
      </c>
      <c r="D70" s="2" t="s">
        <v>104</v>
      </c>
      <c r="E70" s="2" t="s">
        <v>99</v>
      </c>
      <c r="F70" s="2" t="s">
        <v>260</v>
      </c>
      <c r="G70" s="2"/>
      <c r="H70" s="2"/>
      <c r="I70" s="2" t="s">
        <v>36</v>
      </c>
      <c r="J70" s="2" t="s">
        <v>29</v>
      </c>
      <c r="K70" s="2" t="s">
        <v>39</v>
      </c>
      <c r="L70" s="2" t="s">
        <v>41</v>
      </c>
      <c r="M70" s="2" t="s">
        <v>41</v>
      </c>
      <c r="N70" s="2" t="s">
        <v>44</v>
      </c>
      <c r="O70" s="2" t="s">
        <v>20</v>
      </c>
      <c r="P70" s="2" t="s">
        <v>29</v>
      </c>
      <c r="Q70" s="2" t="s">
        <v>20</v>
      </c>
      <c r="R70" s="2"/>
      <c r="S70" s="2" t="s">
        <v>29</v>
      </c>
      <c r="T70" s="2" t="s">
        <v>20</v>
      </c>
      <c r="U70" s="2" t="s">
        <v>20</v>
      </c>
      <c r="V70" s="2" t="s">
        <v>29</v>
      </c>
      <c r="W70" s="2" t="s">
        <v>29</v>
      </c>
      <c r="X70" s="2" t="s">
        <v>32</v>
      </c>
      <c r="Y70" s="2" t="s">
        <v>464</v>
      </c>
      <c r="Z70" s="2" t="s">
        <v>29</v>
      </c>
      <c r="AA70" s="2" t="s">
        <v>48</v>
      </c>
      <c r="AB70" s="2" t="str">
        <f t="shared" si="1"/>
        <v>category:network;subCategory:bridge-domain;epg:vlan912_bd;vrf:core;tenant:RCH;name:vlan912_bd;nameAlias:;descr:;type:regular;unicastRoute:yes;unkMacUcastAct:proxy;unkMcastAct:flood;v6unkMcastAct:flood;vmac:not-applicable;OptimizeWanBandwidth:no;arpFlood:yes;epClear:no;epMoveDetectMode:;hostBasedRouting:yes;intersiteBumTrafficAllow:no;intersiteL2Stretch:no;ipLearning:yes;limitIpLearnToSubnets:yes;llAddr:::;mac:00-22-BD-F8-00-78;mcastAllow:yes;multiDstPktAct:bd-flood</v>
      </c>
    </row>
    <row r="71" spans="1:28" x14ac:dyDescent="0.25"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x14ac:dyDescent="0.25"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</sheetData>
  <autoFilter ref="A1:AB40" xr:uid="{07C1EB75-4C50-4234-BF99-0985D69A7B91}"/>
  <phoneticPr fontId="2" type="noConversion"/>
  <pageMargins left="0.7" right="0.7" top="0.75" bottom="0.75" header="0.3" footer="0.3"/>
  <pageSetup paperSize="9"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C1298-858B-4779-8FA3-1213D74C6BBE}">
  <sheetPr>
    <tabColor theme="9" tint="0.59999389629810485"/>
  </sheetPr>
  <dimension ref="A1:L36"/>
  <sheetViews>
    <sheetView zoomScale="85" zoomScaleNormal="85" workbookViewId="0">
      <selection activeCell="L3" sqref="L3"/>
    </sheetView>
  </sheetViews>
  <sheetFormatPr defaultRowHeight="15" x14ac:dyDescent="0.25"/>
  <cols>
    <col min="1" max="1" width="10.85546875" bestFit="1" customWidth="1"/>
    <col min="2" max="2" width="15.140625" bestFit="1" customWidth="1"/>
    <col min="3" max="3" width="9.140625" bestFit="1" customWidth="1"/>
    <col min="4" max="4" width="26.42578125" bestFit="1" customWidth="1"/>
    <col min="5" max="5" width="12.5703125" bestFit="1" customWidth="1"/>
    <col min="6" max="6" width="12.7109375" bestFit="1" customWidth="1"/>
    <col min="7" max="7" width="13" bestFit="1" customWidth="1"/>
    <col min="8" max="8" width="14.140625" customWidth="1"/>
    <col min="9" max="9" width="23" bestFit="1" customWidth="1"/>
    <col min="10" max="10" width="12.5703125" bestFit="1" customWidth="1"/>
    <col min="11" max="11" width="8" bestFit="1" customWidth="1"/>
    <col min="12" max="12" width="50.28515625" customWidth="1"/>
  </cols>
  <sheetData>
    <row r="1" spans="1:12" x14ac:dyDescent="0.25">
      <c r="A1" s="3" t="s">
        <v>101</v>
      </c>
      <c r="B1" s="3" t="s">
        <v>91</v>
      </c>
      <c r="C1" s="3" t="s">
        <v>13</v>
      </c>
      <c r="D1" s="3" t="s">
        <v>0</v>
      </c>
      <c r="E1" s="3" t="s">
        <v>3</v>
      </c>
      <c r="F1" s="3" t="s">
        <v>85</v>
      </c>
      <c r="G1" s="3" t="s">
        <v>468</v>
      </c>
      <c r="H1" s="3" t="s">
        <v>103</v>
      </c>
      <c r="I1" s="3" t="s">
        <v>484</v>
      </c>
      <c r="J1" s="3" t="s">
        <v>3</v>
      </c>
      <c r="K1" s="3" t="s">
        <v>4</v>
      </c>
      <c r="L1" s="3" t="s">
        <v>100</v>
      </c>
    </row>
    <row r="2" spans="1:12" x14ac:dyDescent="0.25">
      <c r="A2" s="2" t="s">
        <v>90</v>
      </c>
      <c r="B2" s="2" t="s">
        <v>467</v>
      </c>
      <c r="C2" s="2" t="s">
        <v>99</v>
      </c>
      <c r="D2" s="2" t="s">
        <v>469</v>
      </c>
      <c r="E2" s="2"/>
      <c r="F2" s="2" t="s">
        <v>89</v>
      </c>
      <c r="G2" s="2" t="s">
        <v>29</v>
      </c>
      <c r="H2" s="2" t="s">
        <v>104</v>
      </c>
      <c r="I2" s="2" t="s">
        <v>485</v>
      </c>
      <c r="J2" s="2"/>
      <c r="K2" s="2"/>
      <c r="L2" s="2" t="str">
        <f>CONCATENATE($A$1,":",A2,";",$B$1,":",B2,";",$C$1,":",C2,";",$D$1,":",D2,";",$E$1,":",E2,";",$F$1,":",F2,";",$G$1,":",G2,";",$H$1,":",H2,";",$I$1,":",I2,";",$J$1,":",J2,";",$K$1,":",K2)</f>
        <v>category:network;subCategory:l3out;tenant:RCH;name:core_eigrp_pod1_l3out;nameAlias:;targetDscp:unspecified;enablePIM:yes;vrf:core;extDomain:core_pod1_extDom;nameAlias:;descr:</v>
      </c>
    </row>
    <row r="3" spans="1:12" x14ac:dyDescent="0.25">
      <c r="A3" s="2" t="s">
        <v>90</v>
      </c>
      <c r="B3" s="2" t="s">
        <v>467</v>
      </c>
      <c r="C3" s="2" t="s">
        <v>99</v>
      </c>
      <c r="D3" s="2" t="s">
        <v>470</v>
      </c>
      <c r="E3" s="2"/>
      <c r="F3" s="2" t="s">
        <v>89</v>
      </c>
      <c r="G3" s="2" t="s">
        <v>29</v>
      </c>
      <c r="H3" s="2" t="s">
        <v>104</v>
      </c>
      <c r="I3" s="2" t="s">
        <v>486</v>
      </c>
      <c r="J3" s="2"/>
      <c r="K3" s="2"/>
      <c r="L3" s="2" t="str">
        <f t="shared" ref="L3:L16" si="0">CONCATENATE($A$1,":",A3,";",$B$1,":",B3,";",$C$1,":",C3,";",$D$1,":",D3,";",$E$1,":",E3,";",$F$1,":",F3,";",$G$1,":",G3,";",$H$1,":",H3,";",$I$1,":",I3,";",$J$1,":",J3,";",$K$1,":",K3)</f>
        <v>category:network;subCategory:l3out;tenant:RCH;name:core_eigrp_pod2_l3out;nameAlias:;targetDscp:unspecified;enablePIM:yes;vrf:core;extDomain:core_pod2_extDom;nameAlias:;descr:</v>
      </c>
    </row>
    <row r="4" spans="1:12" x14ac:dyDescent="0.25">
      <c r="A4" s="2" t="s">
        <v>90</v>
      </c>
      <c r="B4" s="2" t="s">
        <v>467</v>
      </c>
      <c r="C4" s="2" t="s">
        <v>99</v>
      </c>
      <c r="D4" s="2" t="s">
        <v>471</v>
      </c>
      <c r="E4" s="2"/>
      <c r="F4" s="2" t="s">
        <v>89</v>
      </c>
      <c r="G4" s="2" t="s">
        <v>29</v>
      </c>
      <c r="H4" s="2" t="s">
        <v>104</v>
      </c>
      <c r="I4" s="2" t="s">
        <v>487</v>
      </c>
      <c r="J4" s="2"/>
      <c r="K4" s="2"/>
      <c r="L4" s="2" t="str">
        <f t="shared" si="0"/>
        <v>category:network;subCategory:l3out;tenant:RCH;name:utility_eigrp_pod1_l3out;nameAlias:;targetDscp:unspecified;enablePIM:yes;vrf:core;extDomain:utility_pod1_extDom;nameAlias:;descr:</v>
      </c>
    </row>
    <row r="5" spans="1:12" x14ac:dyDescent="0.25">
      <c r="A5" s="2" t="s">
        <v>90</v>
      </c>
      <c r="B5" s="2" t="s">
        <v>467</v>
      </c>
      <c r="C5" s="2" t="s">
        <v>99</v>
      </c>
      <c r="D5" s="2" t="s">
        <v>472</v>
      </c>
      <c r="E5" s="2"/>
      <c r="F5" s="2" t="s">
        <v>89</v>
      </c>
      <c r="G5" s="2" t="s">
        <v>29</v>
      </c>
      <c r="H5" s="2" t="s">
        <v>104</v>
      </c>
      <c r="I5" s="2" t="s">
        <v>488</v>
      </c>
      <c r="J5" s="2"/>
      <c r="K5" s="2"/>
      <c r="L5" s="2" t="str">
        <f t="shared" si="0"/>
        <v>category:network;subCategory:l3out;tenant:RCH;name:utility_eigrp_pod2_l3out;nameAlias:;targetDscp:unspecified;enablePIM:yes;vrf:core;extDomain:utility_pod2_extDom;nameAlias:;descr:</v>
      </c>
    </row>
    <row r="6" spans="1:12" x14ac:dyDescent="0.25">
      <c r="A6" s="2" t="s">
        <v>90</v>
      </c>
      <c r="B6" s="2" t="s">
        <v>467</v>
      </c>
      <c r="C6" s="2" t="s">
        <v>99</v>
      </c>
      <c r="D6" s="2" t="s">
        <v>473</v>
      </c>
      <c r="E6" s="2"/>
      <c r="F6" s="2" t="s">
        <v>89</v>
      </c>
      <c r="G6" s="2" t="s">
        <v>29</v>
      </c>
      <c r="H6" s="2" t="s">
        <v>104</v>
      </c>
      <c r="I6" s="2" t="s">
        <v>489</v>
      </c>
      <c r="J6" s="2"/>
      <c r="K6" s="2"/>
      <c r="L6" s="2" t="str">
        <f t="shared" si="0"/>
        <v>category:network;subCategory:l3out;tenant:RCH;name:paloAlto_bgp_pod1_l3out;nameAlias:;targetDscp:unspecified;enablePIM:yes;vrf:core;extDomain:palo01_pod1_extDom;nameAlias:;descr:</v>
      </c>
    </row>
    <row r="7" spans="1:12" x14ac:dyDescent="0.25">
      <c r="A7" s="2" t="s">
        <v>90</v>
      </c>
      <c r="B7" s="2" t="s">
        <v>467</v>
      </c>
      <c r="C7" s="2" t="s">
        <v>99</v>
      </c>
      <c r="D7" s="2" t="s">
        <v>474</v>
      </c>
      <c r="E7" s="2"/>
      <c r="F7" s="2" t="s">
        <v>89</v>
      </c>
      <c r="G7" s="2" t="s">
        <v>29</v>
      </c>
      <c r="H7" s="2" t="s">
        <v>104</v>
      </c>
      <c r="I7" s="2" t="s">
        <v>490</v>
      </c>
      <c r="J7" s="2"/>
      <c r="K7" s="2"/>
      <c r="L7" s="2" t="str">
        <f t="shared" si="0"/>
        <v>category:network;subCategory:l3out;tenant:RCH;name:paloAlto_bgp_pod2_l3out;nameAlias:;targetDscp:unspecified;enablePIM:yes;vrf:core;extDomain:palo01_pod2_extDom;nameAlias:;descr:</v>
      </c>
    </row>
    <row r="8" spans="1:12" x14ac:dyDescent="0.25">
      <c r="A8" s="2" t="s">
        <v>90</v>
      </c>
      <c r="B8" s="2" t="s">
        <v>467</v>
      </c>
      <c r="C8" s="2" t="s">
        <v>99</v>
      </c>
      <c r="D8" s="2" t="s">
        <v>475</v>
      </c>
      <c r="E8" s="2"/>
      <c r="F8" s="2" t="s">
        <v>89</v>
      </c>
      <c r="G8" s="2" t="s">
        <v>29</v>
      </c>
      <c r="H8" s="2" t="s">
        <v>104</v>
      </c>
      <c r="I8" s="2" t="s">
        <v>491</v>
      </c>
      <c r="J8" s="2"/>
      <c r="K8" s="2"/>
      <c r="L8" s="2" t="str">
        <f t="shared" si="0"/>
        <v>category:network;subCategory:l3out;tenant:RCH;name:perimFW_static_pod1_l3out;nameAlias:;targetDscp:unspecified;enablePIM:yes;vrf:core;extDomain:perimFW_pod1_extDom;nameAlias:;descr:</v>
      </c>
    </row>
    <row r="9" spans="1:12" x14ac:dyDescent="0.25">
      <c r="A9" s="2" t="s">
        <v>90</v>
      </c>
      <c r="B9" s="2" t="s">
        <v>467</v>
      </c>
      <c r="C9" s="2" t="s">
        <v>99</v>
      </c>
      <c r="D9" s="2" t="s">
        <v>476</v>
      </c>
      <c r="E9" s="2"/>
      <c r="F9" s="2" t="s">
        <v>89</v>
      </c>
      <c r="G9" s="2" t="s">
        <v>29</v>
      </c>
      <c r="H9" s="2" t="s">
        <v>104</v>
      </c>
      <c r="I9" s="2" t="s">
        <v>492</v>
      </c>
      <c r="J9" s="2"/>
      <c r="K9" s="2"/>
      <c r="L9" s="2" t="str">
        <f t="shared" si="0"/>
        <v>category:network;subCategory:l3out;tenant:RCH;name:perimFW_static_pod2_l3out;nameAlias:;targetDscp:unspecified;enablePIM:yes;vrf:core;extDomain:perimFW_pod2_extDom;nameAlias:;descr:</v>
      </c>
    </row>
    <row r="10" spans="1:12" x14ac:dyDescent="0.25">
      <c r="A10" s="2" t="s">
        <v>90</v>
      </c>
      <c r="B10" s="2" t="s">
        <v>467</v>
      </c>
      <c r="C10" s="2" t="s">
        <v>99</v>
      </c>
      <c r="D10" s="2" t="s">
        <v>477</v>
      </c>
      <c r="E10" s="2"/>
      <c r="F10" s="2" t="s">
        <v>89</v>
      </c>
      <c r="G10" s="2" t="s">
        <v>29</v>
      </c>
      <c r="H10" s="2" t="s">
        <v>104</v>
      </c>
      <c r="I10" s="2" t="s">
        <v>493</v>
      </c>
      <c r="J10" s="2"/>
      <c r="K10" s="2"/>
      <c r="L10" s="2" t="str">
        <f t="shared" si="0"/>
        <v>category:network;subCategory:l3out;tenant:RCH;name:vg01_eigrp_pod1_l3out;nameAlias:;targetDscp:unspecified;enablePIM:yes;vrf:core;extDomain:vg01_pod1_extDom;nameAlias:;descr:</v>
      </c>
    </row>
    <row r="11" spans="1:12" x14ac:dyDescent="0.25">
      <c r="A11" s="2" t="s">
        <v>90</v>
      </c>
      <c r="B11" s="2" t="s">
        <v>467</v>
      </c>
      <c r="C11" s="2" t="s">
        <v>99</v>
      </c>
      <c r="D11" s="2" t="s">
        <v>478</v>
      </c>
      <c r="E11" s="2"/>
      <c r="F11" s="2" t="s">
        <v>89</v>
      </c>
      <c r="G11" s="2" t="s">
        <v>29</v>
      </c>
      <c r="H11" s="2" t="s">
        <v>104</v>
      </c>
      <c r="I11" s="2" t="s">
        <v>494</v>
      </c>
      <c r="J11" s="2"/>
      <c r="K11" s="2"/>
      <c r="L11" s="2" t="str">
        <f t="shared" si="0"/>
        <v>category:network;subCategory:l3out;tenant:RCH;name:vg02_eigrp_pod1_l3out;nameAlias:;targetDscp:unspecified;enablePIM:yes;vrf:core;extDomain:vg02_pod1_extDom;nameAlias:;descr:</v>
      </c>
    </row>
    <row r="12" spans="1:12" x14ac:dyDescent="0.25">
      <c r="A12" s="2" t="s">
        <v>90</v>
      </c>
      <c r="B12" s="2" t="s">
        <v>467</v>
      </c>
      <c r="C12" s="2" t="s">
        <v>99</v>
      </c>
      <c r="D12" s="2" t="s">
        <v>479</v>
      </c>
      <c r="E12" s="2"/>
      <c r="F12" s="2" t="s">
        <v>89</v>
      </c>
      <c r="G12" s="2" t="s">
        <v>29</v>
      </c>
      <c r="H12" s="2" t="s">
        <v>104</v>
      </c>
      <c r="I12" s="2" t="s">
        <v>495</v>
      </c>
      <c r="J12" s="2"/>
      <c r="K12" s="2"/>
      <c r="L12" s="2" t="str">
        <f t="shared" si="0"/>
        <v>category:network;subCategory:l3out;tenant:RCH;name:vg03_eigrp_pod2_l3out;nameAlias:;targetDscp:unspecified;enablePIM:yes;vrf:core;extDomain:vg03_pod2_extDom;nameAlias:;descr:</v>
      </c>
    </row>
    <row r="13" spans="1:12" x14ac:dyDescent="0.25">
      <c r="A13" s="2" t="s">
        <v>90</v>
      </c>
      <c r="B13" s="2" t="s">
        <v>467</v>
      </c>
      <c r="C13" s="2" t="s">
        <v>99</v>
      </c>
      <c r="D13" s="2" t="s">
        <v>480</v>
      </c>
      <c r="E13" s="2"/>
      <c r="F13" s="2" t="s">
        <v>89</v>
      </c>
      <c r="G13" s="2" t="s">
        <v>29</v>
      </c>
      <c r="H13" s="2" t="s">
        <v>104</v>
      </c>
      <c r="I13" s="2" t="s">
        <v>496</v>
      </c>
      <c r="J13" s="2"/>
      <c r="K13" s="2"/>
      <c r="L13" s="2" t="str">
        <f t="shared" si="0"/>
        <v>category:network;subCategory:l3out;tenant:RCH;name:vg04_eigrp_pod1_l3out;nameAlias:;targetDscp:unspecified;enablePIM:yes;vrf:core;extDomain:vg04_pod1_extDom;nameAlias:;descr:</v>
      </c>
    </row>
    <row r="14" spans="1:12" x14ac:dyDescent="0.25">
      <c r="A14" s="2" t="s">
        <v>90</v>
      </c>
      <c r="B14" s="2" t="s">
        <v>467</v>
      </c>
      <c r="C14" s="2" t="s">
        <v>99</v>
      </c>
      <c r="D14" s="2" t="s">
        <v>481</v>
      </c>
      <c r="E14" s="2"/>
      <c r="F14" s="2" t="s">
        <v>89</v>
      </c>
      <c r="G14" s="2" t="s">
        <v>29</v>
      </c>
      <c r="H14" s="2" t="s">
        <v>104</v>
      </c>
      <c r="I14" s="2" t="s">
        <v>497</v>
      </c>
      <c r="J14" s="2"/>
      <c r="K14" s="2"/>
      <c r="L14" s="2" t="str">
        <f t="shared" si="0"/>
        <v>category:network;subCategory:l3out;tenant:RCH;name:vg05_eigrp_pod1_l3out;nameAlias:;targetDscp:unspecified;enablePIM:yes;vrf:core;extDomain:vg05_pod1_extDom;nameAlias:;descr:</v>
      </c>
    </row>
    <row r="15" spans="1:12" x14ac:dyDescent="0.25">
      <c r="A15" s="2" t="s">
        <v>90</v>
      </c>
      <c r="B15" s="2" t="s">
        <v>467</v>
      </c>
      <c r="C15" s="2" t="s">
        <v>99</v>
      </c>
      <c r="D15" s="2" t="s">
        <v>482</v>
      </c>
      <c r="E15" s="2"/>
      <c r="F15" s="2" t="s">
        <v>89</v>
      </c>
      <c r="G15" s="2" t="s">
        <v>29</v>
      </c>
      <c r="H15" s="2" t="s">
        <v>104</v>
      </c>
      <c r="I15" s="2" t="s">
        <v>498</v>
      </c>
      <c r="J15" s="2"/>
      <c r="K15" s="2"/>
      <c r="L15" s="2" t="str">
        <f t="shared" si="0"/>
        <v>category:network;subCategory:l3out;tenant:RCH;name:vg06_eigrp_pod1_l3out;nameAlias:;targetDscp:unspecified;enablePIM:yes;vrf:core;extDomain:vg06_pod1_extDom;nameAlias:;descr:</v>
      </c>
    </row>
    <row r="16" spans="1:12" x14ac:dyDescent="0.25">
      <c r="A16" s="2" t="s">
        <v>90</v>
      </c>
      <c r="B16" s="2" t="s">
        <v>467</v>
      </c>
      <c r="C16" s="2" t="s">
        <v>99</v>
      </c>
      <c r="D16" s="2" t="s">
        <v>483</v>
      </c>
      <c r="E16" s="2"/>
      <c r="F16" s="2" t="s">
        <v>89</v>
      </c>
      <c r="G16" s="2" t="s">
        <v>29</v>
      </c>
      <c r="H16" s="2" t="s">
        <v>104</v>
      </c>
      <c r="I16" s="2" t="s">
        <v>499</v>
      </c>
      <c r="J16" s="2"/>
      <c r="K16" s="2"/>
      <c r="L16" s="2" t="str">
        <f t="shared" si="0"/>
        <v>category:network;subCategory:l3out;tenant:RCH;name:wbh_eigrp_pod1_l3out;nameAlias:;targetDscp:unspecified;enablePIM:yes;vrf:core;extDomain:wbh_pod1_extDom;nameAlias:;descr:</v>
      </c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</sheetData>
  <autoFilter ref="A1:L36" xr:uid="{2A708777-108D-4CD4-B8C1-B34D29D79C1B}"/>
  <pageMargins left="0.7" right="0.7" top="0.75" bottom="0.75" header="0.3" footer="0.3"/>
  <pageSetup paperSize="9" orientation="portrait" horizontalDpi="90" verticalDpi="9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E37D29-D502-44E7-B06E-046690CB282F}">
          <x14:formula1>
            <xm:f>vrf!$D$2:$D$40</xm:f>
          </x14:formula1>
          <xm:sqref>H2:H16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F545-1963-44E5-8BC7-2B6C739010DB}">
  <sheetPr>
    <tabColor theme="9" tint="0.59999389629810485"/>
  </sheetPr>
  <dimension ref="A1:E70"/>
  <sheetViews>
    <sheetView zoomScale="85" zoomScaleNormal="85" workbookViewId="0">
      <selection activeCell="D31" sqref="D31"/>
    </sheetView>
  </sheetViews>
  <sheetFormatPr defaultRowHeight="15" x14ac:dyDescent="0.25"/>
  <cols>
    <col min="1" max="1" width="8.5703125" bestFit="1" customWidth="1"/>
    <col min="2" max="2" width="17.42578125" bestFit="1" customWidth="1"/>
    <col min="3" max="3" width="16.7109375" customWidth="1"/>
    <col min="4" max="4" width="29.5703125" customWidth="1"/>
    <col min="5" max="5" width="44.28515625" customWidth="1"/>
  </cols>
  <sheetData>
    <row r="1" spans="1:5" x14ac:dyDescent="0.25">
      <c r="A1" s="3" t="s">
        <v>101</v>
      </c>
      <c r="B1" s="3" t="s">
        <v>91</v>
      </c>
      <c r="C1" s="3" t="s">
        <v>465</v>
      </c>
      <c r="D1" s="3" t="s">
        <v>467</v>
      </c>
      <c r="E1" s="3" t="s">
        <v>100</v>
      </c>
    </row>
    <row r="2" spans="1:5" x14ac:dyDescent="0.25">
      <c r="A2" s="2" t="s">
        <v>90</v>
      </c>
      <c r="B2" s="2" t="s">
        <v>466</v>
      </c>
      <c r="C2" s="2" t="s">
        <v>192</v>
      </c>
      <c r="D2" s="2" t="s">
        <v>469</v>
      </c>
      <c r="E2" s="2" t="str">
        <f>CONCATENATE($A$1,":",A2,";",$B$1,":",B2,";",$C$1,":",C2,";",$D$1,":",D2)</f>
        <v>category:network;subCategory:bridgeDomainLink;bridge-domain:vlan401_bd;l3out:core_eigrp_pod1_l3out</v>
      </c>
    </row>
    <row r="3" spans="1:5" x14ac:dyDescent="0.25">
      <c r="A3" s="2" t="s">
        <v>90</v>
      </c>
      <c r="B3" s="2" t="s">
        <v>466</v>
      </c>
      <c r="C3" s="2" t="s">
        <v>193</v>
      </c>
      <c r="D3" s="2" t="s">
        <v>469</v>
      </c>
      <c r="E3" s="2" t="str">
        <f t="shared" ref="E3:E66" si="0">CONCATENATE($A$1,":",A3,";",$B$1,":",B3,";",$C$1,":",C3,";",$D$1,":",D3)</f>
        <v>category:network;subCategory:bridgeDomainLink;bridge-domain:vlan402_bd;l3out:core_eigrp_pod1_l3out</v>
      </c>
    </row>
    <row r="4" spans="1:5" x14ac:dyDescent="0.25">
      <c r="A4" s="2" t="s">
        <v>90</v>
      </c>
      <c r="B4" s="2" t="s">
        <v>466</v>
      </c>
      <c r="C4" s="2" t="s">
        <v>194</v>
      </c>
      <c r="D4" s="2" t="s">
        <v>469</v>
      </c>
      <c r="E4" s="2" t="str">
        <f t="shared" si="0"/>
        <v>category:network;subCategory:bridgeDomainLink;bridge-domain:vlan403_bd;l3out:core_eigrp_pod1_l3out</v>
      </c>
    </row>
    <row r="5" spans="1:5" x14ac:dyDescent="0.25">
      <c r="A5" s="2" t="s">
        <v>90</v>
      </c>
      <c r="B5" s="2" t="s">
        <v>466</v>
      </c>
      <c r="C5" s="2" t="s">
        <v>195</v>
      </c>
      <c r="D5" s="2" t="s">
        <v>469</v>
      </c>
      <c r="E5" s="2" t="str">
        <f t="shared" si="0"/>
        <v>category:network;subCategory:bridgeDomainLink;bridge-domain:vlan404_bd;l3out:core_eigrp_pod1_l3out</v>
      </c>
    </row>
    <row r="6" spans="1:5" x14ac:dyDescent="0.25">
      <c r="A6" s="2" t="s">
        <v>90</v>
      </c>
      <c r="B6" s="2" t="s">
        <v>466</v>
      </c>
      <c r="C6" s="2" t="s">
        <v>196</v>
      </c>
      <c r="D6" s="2" t="s">
        <v>469</v>
      </c>
      <c r="E6" s="2" t="str">
        <f t="shared" si="0"/>
        <v>category:network;subCategory:bridgeDomainLink;bridge-domain:vlan405_bd;l3out:core_eigrp_pod1_l3out</v>
      </c>
    </row>
    <row r="7" spans="1:5" x14ac:dyDescent="0.25">
      <c r="A7" s="2" t="s">
        <v>90</v>
      </c>
      <c r="B7" s="2" t="s">
        <v>466</v>
      </c>
      <c r="C7" s="2" t="s">
        <v>197</v>
      </c>
      <c r="D7" s="2" t="s">
        <v>469</v>
      </c>
      <c r="E7" s="2" t="str">
        <f t="shared" si="0"/>
        <v>category:network;subCategory:bridgeDomainLink;bridge-domain:vlan406_bd;l3out:core_eigrp_pod1_l3out</v>
      </c>
    </row>
    <row r="8" spans="1:5" x14ac:dyDescent="0.25">
      <c r="A8" s="2" t="s">
        <v>90</v>
      </c>
      <c r="B8" s="2" t="s">
        <v>466</v>
      </c>
      <c r="C8" s="2" t="s">
        <v>198</v>
      </c>
      <c r="D8" s="2" t="s">
        <v>469</v>
      </c>
      <c r="E8" s="2" t="str">
        <f t="shared" si="0"/>
        <v>category:network;subCategory:bridgeDomainLink;bridge-domain:vlan407_bd;l3out:core_eigrp_pod1_l3out</v>
      </c>
    </row>
    <row r="9" spans="1:5" x14ac:dyDescent="0.25">
      <c r="A9" s="2" t="s">
        <v>90</v>
      </c>
      <c r="B9" s="2" t="s">
        <v>466</v>
      </c>
      <c r="C9" s="2" t="s">
        <v>199</v>
      </c>
      <c r="D9" s="2" t="s">
        <v>469</v>
      </c>
      <c r="E9" s="2" t="str">
        <f t="shared" si="0"/>
        <v>category:network;subCategory:bridgeDomainLink;bridge-domain:vlan408_bd;l3out:core_eigrp_pod1_l3out</v>
      </c>
    </row>
    <row r="10" spans="1:5" x14ac:dyDescent="0.25">
      <c r="A10" s="2" t="s">
        <v>90</v>
      </c>
      <c r="B10" s="2" t="s">
        <v>466</v>
      </c>
      <c r="C10" s="2" t="s">
        <v>200</v>
      </c>
      <c r="D10" s="2" t="s">
        <v>469</v>
      </c>
      <c r="E10" s="2" t="str">
        <f t="shared" si="0"/>
        <v>category:network;subCategory:bridgeDomainLink;bridge-domain:vlan409_bd;l3out:core_eigrp_pod1_l3out</v>
      </c>
    </row>
    <row r="11" spans="1:5" x14ac:dyDescent="0.25">
      <c r="A11" s="2" t="s">
        <v>90</v>
      </c>
      <c r="B11" s="2" t="s">
        <v>466</v>
      </c>
      <c r="C11" s="2" t="s">
        <v>201</v>
      </c>
      <c r="D11" s="2" t="s">
        <v>469</v>
      </c>
      <c r="E11" s="2" t="str">
        <f t="shared" si="0"/>
        <v>category:network;subCategory:bridgeDomainLink;bridge-domain:vlan410_bd;l3out:core_eigrp_pod1_l3out</v>
      </c>
    </row>
    <row r="12" spans="1:5" x14ac:dyDescent="0.25">
      <c r="A12" s="2" t="s">
        <v>90</v>
      </c>
      <c r="B12" s="2" t="s">
        <v>466</v>
      </c>
      <c r="C12" s="2" t="s">
        <v>202</v>
      </c>
      <c r="D12" s="2" t="s">
        <v>469</v>
      </c>
      <c r="E12" s="2" t="str">
        <f t="shared" si="0"/>
        <v>category:network;subCategory:bridgeDomainLink;bridge-domain:vlan411_bd;l3out:core_eigrp_pod1_l3out</v>
      </c>
    </row>
    <row r="13" spans="1:5" x14ac:dyDescent="0.25">
      <c r="A13" s="2" t="s">
        <v>90</v>
      </c>
      <c r="B13" s="2" t="s">
        <v>466</v>
      </c>
      <c r="C13" s="2" t="s">
        <v>203</v>
      </c>
      <c r="D13" s="2" t="s">
        <v>469</v>
      </c>
      <c r="E13" s="2" t="str">
        <f t="shared" si="0"/>
        <v>category:network;subCategory:bridgeDomainLink;bridge-domain:vlan412_bd;l3out:core_eigrp_pod1_l3out</v>
      </c>
    </row>
    <row r="14" spans="1:5" x14ac:dyDescent="0.25">
      <c r="A14" s="2" t="s">
        <v>90</v>
      </c>
      <c r="B14" s="2" t="s">
        <v>466</v>
      </c>
      <c r="C14" s="2" t="s">
        <v>204</v>
      </c>
      <c r="D14" s="2" t="s">
        <v>469</v>
      </c>
      <c r="E14" s="2" t="str">
        <f t="shared" si="0"/>
        <v>category:network;subCategory:bridgeDomainLink;bridge-domain:vlan413_bd;l3out:core_eigrp_pod1_l3out</v>
      </c>
    </row>
    <row r="15" spans="1:5" x14ac:dyDescent="0.25">
      <c r="A15" s="2" t="s">
        <v>90</v>
      </c>
      <c r="B15" s="2" t="s">
        <v>466</v>
      </c>
      <c r="C15" s="2" t="s">
        <v>205</v>
      </c>
      <c r="D15" s="2" t="s">
        <v>469</v>
      </c>
      <c r="E15" s="2" t="str">
        <f t="shared" si="0"/>
        <v>category:network;subCategory:bridgeDomainLink;bridge-domain:vlan414_bd;l3out:core_eigrp_pod1_l3out</v>
      </c>
    </row>
    <row r="16" spans="1:5" x14ac:dyDescent="0.25">
      <c r="A16" s="2" t="s">
        <v>90</v>
      </c>
      <c r="B16" s="2" t="s">
        <v>466</v>
      </c>
      <c r="C16" s="2" t="s">
        <v>206</v>
      </c>
      <c r="D16" s="2" t="s">
        <v>469</v>
      </c>
      <c r="E16" s="2" t="str">
        <f t="shared" si="0"/>
        <v>category:network;subCategory:bridgeDomainLink;bridge-domain:vlan415_bd;l3out:core_eigrp_pod1_l3out</v>
      </c>
    </row>
    <row r="17" spans="1:5" x14ac:dyDescent="0.25">
      <c r="A17" s="2" t="s">
        <v>90</v>
      </c>
      <c r="B17" s="2" t="s">
        <v>466</v>
      </c>
      <c r="C17" s="2" t="s">
        <v>207</v>
      </c>
      <c r="D17" s="2" t="s">
        <v>469</v>
      </c>
      <c r="E17" s="2" t="str">
        <f t="shared" si="0"/>
        <v>category:network;subCategory:bridgeDomainLink;bridge-domain:vlan416_bd;l3out:core_eigrp_pod1_l3out</v>
      </c>
    </row>
    <row r="18" spans="1:5" x14ac:dyDescent="0.25">
      <c r="A18" s="2" t="s">
        <v>90</v>
      </c>
      <c r="B18" s="2" t="s">
        <v>466</v>
      </c>
      <c r="C18" s="2" t="s">
        <v>208</v>
      </c>
      <c r="D18" s="2" t="s">
        <v>469</v>
      </c>
      <c r="E18" s="2" t="str">
        <f t="shared" si="0"/>
        <v>category:network;subCategory:bridgeDomainLink;bridge-domain:vlan417_bd;l3out:core_eigrp_pod1_l3out</v>
      </c>
    </row>
    <row r="19" spans="1:5" x14ac:dyDescent="0.25">
      <c r="A19" s="2" t="s">
        <v>90</v>
      </c>
      <c r="B19" s="2" t="s">
        <v>466</v>
      </c>
      <c r="C19" s="2" t="s">
        <v>209</v>
      </c>
      <c r="D19" s="2" t="s">
        <v>469</v>
      </c>
      <c r="E19" s="2" t="str">
        <f t="shared" si="0"/>
        <v>category:network;subCategory:bridgeDomainLink;bridge-domain:vlan418_bd;l3out:core_eigrp_pod1_l3out</v>
      </c>
    </row>
    <row r="20" spans="1:5" x14ac:dyDescent="0.25">
      <c r="A20" s="2" t="s">
        <v>90</v>
      </c>
      <c r="B20" s="2" t="s">
        <v>466</v>
      </c>
      <c r="C20" s="2" t="s">
        <v>210</v>
      </c>
      <c r="D20" s="2" t="s">
        <v>469</v>
      </c>
      <c r="E20" s="2" t="str">
        <f t="shared" si="0"/>
        <v>category:network;subCategory:bridgeDomainLink;bridge-domain:vlan419_bd;l3out:core_eigrp_pod1_l3out</v>
      </c>
    </row>
    <row r="21" spans="1:5" x14ac:dyDescent="0.25">
      <c r="A21" s="2" t="s">
        <v>90</v>
      </c>
      <c r="B21" s="2" t="s">
        <v>466</v>
      </c>
      <c r="C21" s="2" t="s">
        <v>211</v>
      </c>
      <c r="D21" s="2" t="s">
        <v>469</v>
      </c>
      <c r="E21" s="2" t="str">
        <f t="shared" si="0"/>
        <v>category:network;subCategory:bridgeDomainLink;bridge-domain:vlan420_bd;l3out:core_eigrp_pod1_l3out</v>
      </c>
    </row>
    <row r="22" spans="1:5" x14ac:dyDescent="0.25">
      <c r="A22" s="2" t="s">
        <v>90</v>
      </c>
      <c r="B22" s="2" t="s">
        <v>466</v>
      </c>
      <c r="C22" s="2" t="s">
        <v>212</v>
      </c>
      <c r="D22" s="2" t="s">
        <v>469</v>
      </c>
      <c r="E22" s="2" t="str">
        <f t="shared" si="0"/>
        <v>category:network;subCategory:bridgeDomainLink;bridge-domain:vlan421_bd;l3out:core_eigrp_pod1_l3out</v>
      </c>
    </row>
    <row r="23" spans="1:5" x14ac:dyDescent="0.25">
      <c r="A23" s="2" t="s">
        <v>90</v>
      </c>
      <c r="B23" s="2" t="s">
        <v>466</v>
      </c>
      <c r="C23" s="2" t="s">
        <v>213</v>
      </c>
      <c r="D23" s="2" t="s">
        <v>469</v>
      </c>
      <c r="E23" s="2" t="str">
        <f t="shared" si="0"/>
        <v>category:network;subCategory:bridgeDomainLink;bridge-domain:vlan422_bd;l3out:core_eigrp_pod1_l3out</v>
      </c>
    </row>
    <row r="24" spans="1:5" x14ac:dyDescent="0.25">
      <c r="A24" s="2" t="s">
        <v>90</v>
      </c>
      <c r="B24" s="2" t="s">
        <v>466</v>
      </c>
      <c r="C24" s="2" t="s">
        <v>214</v>
      </c>
      <c r="D24" s="2" t="s">
        <v>469</v>
      </c>
      <c r="E24" s="2" t="str">
        <f t="shared" si="0"/>
        <v>category:network;subCategory:bridgeDomainLink;bridge-domain:vlan423_bd;l3out:core_eigrp_pod1_l3out</v>
      </c>
    </row>
    <row r="25" spans="1:5" x14ac:dyDescent="0.25">
      <c r="A25" s="2" t="s">
        <v>90</v>
      </c>
      <c r="B25" s="2" t="s">
        <v>466</v>
      </c>
      <c r="C25" s="2" t="s">
        <v>215</v>
      </c>
      <c r="D25" s="2" t="s">
        <v>469</v>
      </c>
      <c r="E25" s="2" t="str">
        <f t="shared" si="0"/>
        <v>category:network;subCategory:bridgeDomainLink;bridge-domain:vlan497_bd;l3out:core_eigrp_pod1_l3out</v>
      </c>
    </row>
    <row r="26" spans="1:5" x14ac:dyDescent="0.25">
      <c r="A26" s="2" t="s">
        <v>90</v>
      </c>
      <c r="B26" s="2" t="s">
        <v>466</v>
      </c>
      <c r="C26" s="2" t="s">
        <v>216</v>
      </c>
      <c r="D26" s="2" t="s">
        <v>469</v>
      </c>
      <c r="E26" s="2" t="str">
        <f t="shared" si="0"/>
        <v>category:network;subCategory:bridgeDomainLink;bridge-domain:vlan501_bd;l3out:core_eigrp_pod1_l3out</v>
      </c>
    </row>
    <row r="27" spans="1:5" x14ac:dyDescent="0.25">
      <c r="A27" s="2" t="s">
        <v>90</v>
      </c>
      <c r="B27" s="2" t="s">
        <v>466</v>
      </c>
      <c r="C27" s="2" t="s">
        <v>217</v>
      </c>
      <c r="D27" s="2" t="s">
        <v>469</v>
      </c>
      <c r="E27" s="2" t="str">
        <f t="shared" si="0"/>
        <v>category:network;subCategory:bridgeDomainLink;bridge-domain:vlan502_bd;l3out:core_eigrp_pod1_l3out</v>
      </c>
    </row>
    <row r="28" spans="1:5" x14ac:dyDescent="0.25">
      <c r="A28" s="2" t="s">
        <v>90</v>
      </c>
      <c r="B28" s="2" t="s">
        <v>466</v>
      </c>
      <c r="C28" s="2" t="s">
        <v>218</v>
      </c>
      <c r="D28" s="2" t="s">
        <v>469</v>
      </c>
      <c r="E28" s="2" t="str">
        <f t="shared" si="0"/>
        <v>category:network;subCategory:bridgeDomainLink;bridge-domain:vlan503_bd;l3out:core_eigrp_pod1_l3out</v>
      </c>
    </row>
    <row r="29" spans="1:5" x14ac:dyDescent="0.25">
      <c r="A29" s="2" t="s">
        <v>90</v>
      </c>
      <c r="B29" s="2" t="s">
        <v>466</v>
      </c>
      <c r="C29" s="2" t="s">
        <v>219</v>
      </c>
      <c r="D29" s="2" t="s">
        <v>469</v>
      </c>
      <c r="E29" s="2" t="str">
        <f t="shared" si="0"/>
        <v>category:network;subCategory:bridgeDomainLink;bridge-domain:vlan504_bd;l3out:core_eigrp_pod1_l3out</v>
      </c>
    </row>
    <row r="30" spans="1:5" x14ac:dyDescent="0.25">
      <c r="A30" s="2" t="s">
        <v>90</v>
      </c>
      <c r="B30" s="2" t="s">
        <v>466</v>
      </c>
      <c r="C30" s="2" t="s">
        <v>220</v>
      </c>
      <c r="D30" s="2" t="s">
        <v>469</v>
      </c>
      <c r="E30" s="2" t="str">
        <f t="shared" si="0"/>
        <v>category:network;subCategory:bridgeDomainLink;bridge-domain:vlan505_bd;l3out:core_eigrp_pod1_l3out</v>
      </c>
    </row>
    <row r="31" spans="1:5" x14ac:dyDescent="0.25">
      <c r="A31" s="2" t="s">
        <v>90</v>
      </c>
      <c r="B31" s="2" t="s">
        <v>466</v>
      </c>
      <c r="C31" s="2" t="s">
        <v>221</v>
      </c>
      <c r="D31" s="2" t="s">
        <v>469</v>
      </c>
      <c r="E31" s="2" t="str">
        <f t="shared" si="0"/>
        <v>category:network;subCategory:bridgeDomainLink;bridge-domain:vlan506_bd;l3out:core_eigrp_pod1_l3out</v>
      </c>
    </row>
    <row r="32" spans="1:5" x14ac:dyDescent="0.25">
      <c r="A32" s="2" t="s">
        <v>90</v>
      </c>
      <c r="B32" s="2" t="s">
        <v>466</v>
      </c>
      <c r="C32" s="2" t="s">
        <v>222</v>
      </c>
      <c r="D32" s="2" t="s">
        <v>469</v>
      </c>
      <c r="E32" s="2" t="str">
        <f t="shared" si="0"/>
        <v>category:network;subCategory:bridgeDomainLink;bridge-domain:vlan507_bd;l3out:core_eigrp_pod1_l3out</v>
      </c>
    </row>
    <row r="33" spans="1:5" x14ac:dyDescent="0.25">
      <c r="A33" s="2" t="s">
        <v>90</v>
      </c>
      <c r="B33" s="2" t="s">
        <v>466</v>
      </c>
      <c r="C33" s="2" t="s">
        <v>223</v>
      </c>
      <c r="D33" s="2" t="s">
        <v>469</v>
      </c>
      <c r="E33" s="2" t="str">
        <f t="shared" si="0"/>
        <v>category:network;subCategory:bridgeDomainLink;bridge-domain:vlan508_bd;l3out:core_eigrp_pod1_l3out</v>
      </c>
    </row>
    <row r="34" spans="1:5" x14ac:dyDescent="0.25">
      <c r="A34" s="2" t="s">
        <v>90</v>
      </c>
      <c r="B34" s="2" t="s">
        <v>466</v>
      </c>
      <c r="C34" s="2" t="s">
        <v>224</v>
      </c>
      <c r="D34" s="2" t="s">
        <v>469</v>
      </c>
      <c r="E34" s="2" t="str">
        <f t="shared" si="0"/>
        <v>category:network;subCategory:bridgeDomainLink;bridge-domain:vlan509_bd;l3out:core_eigrp_pod1_l3out</v>
      </c>
    </row>
    <row r="35" spans="1:5" x14ac:dyDescent="0.25">
      <c r="A35" s="2" t="s">
        <v>90</v>
      </c>
      <c r="B35" s="2" t="s">
        <v>466</v>
      </c>
      <c r="C35" s="2" t="s">
        <v>225</v>
      </c>
      <c r="D35" s="2" t="s">
        <v>469</v>
      </c>
      <c r="E35" s="2" t="str">
        <f t="shared" si="0"/>
        <v>category:network;subCategory:bridgeDomainLink;bridge-domain:vlan510_bd;l3out:core_eigrp_pod1_l3out</v>
      </c>
    </row>
    <row r="36" spans="1:5" x14ac:dyDescent="0.25">
      <c r="A36" s="2" t="s">
        <v>90</v>
      </c>
      <c r="B36" s="2" t="s">
        <v>466</v>
      </c>
      <c r="C36" s="2" t="s">
        <v>226</v>
      </c>
      <c r="D36" s="2" t="s">
        <v>469</v>
      </c>
      <c r="E36" s="2" t="str">
        <f t="shared" si="0"/>
        <v>category:network;subCategory:bridgeDomainLink;bridge-domain:vlan515_bd;l3out:core_eigrp_pod1_l3out</v>
      </c>
    </row>
    <row r="37" spans="1:5" x14ac:dyDescent="0.25">
      <c r="A37" s="2" t="s">
        <v>90</v>
      </c>
      <c r="B37" s="2" t="s">
        <v>466</v>
      </c>
      <c r="C37" s="2" t="s">
        <v>227</v>
      </c>
      <c r="D37" s="2" t="s">
        <v>469</v>
      </c>
      <c r="E37" s="2" t="str">
        <f t="shared" si="0"/>
        <v>category:network;subCategory:bridgeDomainLink;bridge-domain:vlan516_bd;l3out:core_eigrp_pod1_l3out</v>
      </c>
    </row>
    <row r="38" spans="1:5" x14ac:dyDescent="0.25">
      <c r="A38" s="2" t="s">
        <v>90</v>
      </c>
      <c r="B38" s="2" t="s">
        <v>466</v>
      </c>
      <c r="C38" s="2" t="s">
        <v>228</v>
      </c>
      <c r="D38" s="2" t="s">
        <v>469</v>
      </c>
      <c r="E38" s="2" t="str">
        <f t="shared" si="0"/>
        <v>category:network;subCategory:bridgeDomainLink;bridge-domain:vlan517_bd;l3out:core_eigrp_pod1_l3out</v>
      </c>
    </row>
    <row r="39" spans="1:5" x14ac:dyDescent="0.25">
      <c r="A39" s="2" t="s">
        <v>90</v>
      </c>
      <c r="B39" s="2" t="s">
        <v>466</v>
      </c>
      <c r="C39" s="2" t="s">
        <v>229</v>
      </c>
      <c r="D39" s="2" t="s">
        <v>469</v>
      </c>
      <c r="E39" s="2" t="str">
        <f t="shared" si="0"/>
        <v>category:network;subCategory:bridgeDomainLink;bridge-domain:vlan518_bd;l3out:core_eigrp_pod1_l3out</v>
      </c>
    </row>
    <row r="40" spans="1:5" x14ac:dyDescent="0.25">
      <c r="A40" s="2" t="s">
        <v>90</v>
      </c>
      <c r="B40" s="2" t="s">
        <v>466</v>
      </c>
      <c r="C40" s="2" t="s">
        <v>230</v>
      </c>
      <c r="D40" s="2" t="s">
        <v>469</v>
      </c>
      <c r="E40" s="2" t="str">
        <f t="shared" si="0"/>
        <v>category:network;subCategory:bridgeDomainLink;bridge-domain:vlan519_bd;l3out:core_eigrp_pod1_l3out</v>
      </c>
    </row>
    <row r="41" spans="1:5" x14ac:dyDescent="0.25">
      <c r="A41" s="2" t="s">
        <v>90</v>
      </c>
      <c r="B41" s="2" t="s">
        <v>466</v>
      </c>
      <c r="C41" s="2" t="s">
        <v>231</v>
      </c>
      <c r="D41" s="2" t="s">
        <v>469</v>
      </c>
      <c r="E41" s="2" t="str">
        <f t="shared" si="0"/>
        <v>category:network;subCategory:bridgeDomainLink;bridge-domain:vlan520_bd;l3out:core_eigrp_pod1_l3out</v>
      </c>
    </row>
    <row r="42" spans="1:5" x14ac:dyDescent="0.25">
      <c r="A42" s="2" t="s">
        <v>90</v>
      </c>
      <c r="B42" s="2" t="s">
        <v>466</v>
      </c>
      <c r="C42" s="2" t="s">
        <v>232</v>
      </c>
      <c r="D42" s="2" t="s">
        <v>469</v>
      </c>
      <c r="E42" s="2" t="str">
        <f t="shared" si="0"/>
        <v>category:network;subCategory:bridgeDomainLink;bridge-domain:vlan521_bd;l3out:core_eigrp_pod1_l3out</v>
      </c>
    </row>
    <row r="43" spans="1:5" x14ac:dyDescent="0.25">
      <c r="A43" s="2" t="s">
        <v>90</v>
      </c>
      <c r="B43" s="2" t="s">
        <v>466</v>
      </c>
      <c r="C43" s="2" t="s">
        <v>233</v>
      </c>
      <c r="D43" s="2" t="s">
        <v>469</v>
      </c>
      <c r="E43" s="2" t="str">
        <f t="shared" si="0"/>
        <v>category:network;subCategory:bridgeDomainLink;bridge-domain:vlan522_bd;l3out:core_eigrp_pod1_l3out</v>
      </c>
    </row>
    <row r="44" spans="1:5" x14ac:dyDescent="0.25">
      <c r="A44" s="2" t="s">
        <v>90</v>
      </c>
      <c r="B44" s="2" t="s">
        <v>466</v>
      </c>
      <c r="C44" s="2" t="s">
        <v>234</v>
      </c>
      <c r="D44" s="2" t="s">
        <v>469</v>
      </c>
      <c r="E44" s="2" t="str">
        <f t="shared" si="0"/>
        <v>category:network;subCategory:bridgeDomainLink;bridge-domain:vlan523_bd;l3out:core_eigrp_pod1_l3out</v>
      </c>
    </row>
    <row r="45" spans="1:5" x14ac:dyDescent="0.25">
      <c r="A45" s="2" t="s">
        <v>90</v>
      </c>
      <c r="B45" s="2" t="s">
        <v>466</v>
      </c>
      <c r="C45" s="2" t="s">
        <v>235</v>
      </c>
      <c r="D45" s="2" t="s">
        <v>469</v>
      </c>
      <c r="E45" s="2" t="str">
        <f t="shared" si="0"/>
        <v>category:network;subCategory:bridgeDomainLink;bridge-domain:vlan524_bd;l3out:core_eigrp_pod1_l3out</v>
      </c>
    </row>
    <row r="46" spans="1:5" x14ac:dyDescent="0.25">
      <c r="A46" s="2" t="s">
        <v>90</v>
      </c>
      <c r="B46" s="2" t="s">
        <v>466</v>
      </c>
      <c r="C46" s="2" t="s">
        <v>236</v>
      </c>
      <c r="D46" s="2" t="s">
        <v>469</v>
      </c>
      <c r="E46" s="2" t="str">
        <f t="shared" si="0"/>
        <v>category:network;subCategory:bridgeDomainLink;bridge-domain:vlan525_bd;l3out:core_eigrp_pod1_l3out</v>
      </c>
    </row>
    <row r="47" spans="1:5" x14ac:dyDescent="0.25">
      <c r="A47" s="2" t="s">
        <v>90</v>
      </c>
      <c r="B47" s="2" t="s">
        <v>466</v>
      </c>
      <c r="C47" s="2" t="s">
        <v>237</v>
      </c>
      <c r="D47" s="2" t="s">
        <v>469</v>
      </c>
      <c r="E47" s="2" t="str">
        <f t="shared" si="0"/>
        <v>category:network;subCategory:bridgeDomainLink;bridge-domain:vlan526_bd;l3out:core_eigrp_pod1_l3out</v>
      </c>
    </row>
    <row r="48" spans="1:5" x14ac:dyDescent="0.25">
      <c r="A48" s="2" t="s">
        <v>90</v>
      </c>
      <c r="B48" s="2" t="s">
        <v>466</v>
      </c>
      <c r="C48" s="2" t="s">
        <v>238</v>
      </c>
      <c r="D48" s="2" t="s">
        <v>469</v>
      </c>
      <c r="E48" s="2" t="str">
        <f t="shared" si="0"/>
        <v>category:network;subCategory:bridgeDomainLink;bridge-domain:vlan527_bd;l3out:core_eigrp_pod1_l3out</v>
      </c>
    </row>
    <row r="49" spans="1:5" x14ac:dyDescent="0.25">
      <c r="A49" s="2" t="s">
        <v>90</v>
      </c>
      <c r="B49" s="2" t="s">
        <v>466</v>
      </c>
      <c r="C49" s="2" t="s">
        <v>239</v>
      </c>
      <c r="D49" s="2" t="s">
        <v>469</v>
      </c>
      <c r="E49" s="2" t="str">
        <f t="shared" si="0"/>
        <v>category:network;subCategory:bridgeDomainLink;bridge-domain:vlan528_bd;l3out:core_eigrp_pod1_l3out</v>
      </c>
    </row>
    <row r="50" spans="1:5" x14ac:dyDescent="0.25">
      <c r="A50" s="2" t="s">
        <v>90</v>
      </c>
      <c r="B50" s="2" t="s">
        <v>466</v>
      </c>
      <c r="C50" s="2" t="s">
        <v>240</v>
      </c>
      <c r="D50" s="2" t="s">
        <v>469</v>
      </c>
      <c r="E50" s="2" t="str">
        <f t="shared" si="0"/>
        <v>category:network;subCategory:bridgeDomainLink;bridge-domain:vlan529_bd;l3out:core_eigrp_pod1_l3out</v>
      </c>
    </row>
    <row r="51" spans="1:5" x14ac:dyDescent="0.25">
      <c r="A51" s="2" t="s">
        <v>90</v>
      </c>
      <c r="B51" s="2" t="s">
        <v>466</v>
      </c>
      <c r="C51" s="2" t="s">
        <v>241</v>
      </c>
      <c r="D51" s="2" t="s">
        <v>469</v>
      </c>
      <c r="E51" s="2" t="str">
        <f t="shared" si="0"/>
        <v>category:network;subCategory:bridgeDomainLink;bridge-domain:vlan530_bd;l3out:core_eigrp_pod1_l3out</v>
      </c>
    </row>
    <row r="52" spans="1:5" x14ac:dyDescent="0.25">
      <c r="A52" s="2" t="s">
        <v>90</v>
      </c>
      <c r="B52" s="2" t="s">
        <v>466</v>
      </c>
      <c r="C52" s="2" t="s">
        <v>242</v>
      </c>
      <c r="D52" s="2" t="s">
        <v>469</v>
      </c>
      <c r="E52" s="2" t="str">
        <f t="shared" si="0"/>
        <v>category:network;subCategory:bridgeDomainLink;bridge-domain:vlan531_bd;l3out:core_eigrp_pod1_l3out</v>
      </c>
    </row>
    <row r="53" spans="1:5" x14ac:dyDescent="0.25">
      <c r="A53" s="2" t="s">
        <v>90</v>
      </c>
      <c r="B53" s="2" t="s">
        <v>466</v>
      </c>
      <c r="C53" s="2" t="s">
        <v>243</v>
      </c>
      <c r="D53" s="2" t="s">
        <v>469</v>
      </c>
      <c r="E53" s="2" t="str">
        <f t="shared" si="0"/>
        <v>category:network;subCategory:bridgeDomainLink;bridge-domain:vlan533_bd;l3out:core_eigrp_pod1_l3out</v>
      </c>
    </row>
    <row r="54" spans="1:5" x14ac:dyDescent="0.25">
      <c r="A54" s="2" t="s">
        <v>90</v>
      </c>
      <c r="B54" s="2" t="s">
        <v>466</v>
      </c>
      <c r="C54" s="2" t="s">
        <v>244</v>
      </c>
      <c r="D54" s="2" t="s">
        <v>469</v>
      </c>
      <c r="E54" s="2" t="str">
        <f t="shared" si="0"/>
        <v>category:network;subCategory:bridgeDomainLink;bridge-domain:vlan534_bd;l3out:core_eigrp_pod1_l3out</v>
      </c>
    </row>
    <row r="55" spans="1:5" x14ac:dyDescent="0.25">
      <c r="A55" s="2" t="s">
        <v>90</v>
      </c>
      <c r="B55" s="2" t="s">
        <v>466</v>
      </c>
      <c r="C55" s="2" t="s">
        <v>245</v>
      </c>
      <c r="D55" s="2" t="s">
        <v>469</v>
      </c>
      <c r="E55" s="2" t="str">
        <f t="shared" si="0"/>
        <v>category:network;subCategory:bridgeDomainLink;bridge-domain:vlan535_bd;l3out:core_eigrp_pod1_l3out</v>
      </c>
    </row>
    <row r="56" spans="1:5" x14ac:dyDescent="0.25">
      <c r="A56" s="2" t="s">
        <v>90</v>
      </c>
      <c r="B56" s="2" t="s">
        <v>466</v>
      </c>
      <c r="C56" s="2" t="s">
        <v>246</v>
      </c>
      <c r="D56" s="2" t="s">
        <v>469</v>
      </c>
      <c r="E56" s="2" t="str">
        <f t="shared" si="0"/>
        <v>category:network;subCategory:bridgeDomainLink;bridge-domain:vlan536_bd;l3out:core_eigrp_pod1_l3out</v>
      </c>
    </row>
    <row r="57" spans="1:5" x14ac:dyDescent="0.25">
      <c r="A57" s="2" t="s">
        <v>90</v>
      </c>
      <c r="B57" s="2" t="s">
        <v>466</v>
      </c>
      <c r="C57" s="2" t="s">
        <v>247</v>
      </c>
      <c r="D57" s="2" t="s">
        <v>469</v>
      </c>
      <c r="E57" s="2" t="str">
        <f t="shared" si="0"/>
        <v>category:network;subCategory:bridgeDomainLink;bridge-domain:vlan593_bd;l3out:core_eigrp_pod1_l3out</v>
      </c>
    </row>
    <row r="58" spans="1:5" x14ac:dyDescent="0.25">
      <c r="A58" s="2" t="s">
        <v>90</v>
      </c>
      <c r="B58" s="2" t="s">
        <v>466</v>
      </c>
      <c r="C58" s="2" t="s">
        <v>248</v>
      </c>
      <c r="D58" s="2" t="s">
        <v>469</v>
      </c>
      <c r="E58" s="2" t="str">
        <f t="shared" si="0"/>
        <v>category:network;subCategory:bridgeDomainLink;bridge-domain:vlan595_bd;l3out:core_eigrp_pod1_l3out</v>
      </c>
    </row>
    <row r="59" spans="1:5" x14ac:dyDescent="0.25">
      <c r="A59" s="2" t="s">
        <v>90</v>
      </c>
      <c r="B59" s="2" t="s">
        <v>466</v>
      </c>
      <c r="C59" s="2" t="s">
        <v>249</v>
      </c>
      <c r="D59" s="2" t="s">
        <v>469</v>
      </c>
      <c r="E59" s="2" t="str">
        <f t="shared" si="0"/>
        <v>category:network;subCategory:bridgeDomainLink;bridge-domain:vlan901_bd;l3out:core_eigrp_pod1_l3out</v>
      </c>
    </row>
    <row r="60" spans="1:5" x14ac:dyDescent="0.25">
      <c r="A60" s="2" t="s">
        <v>90</v>
      </c>
      <c r="B60" s="2" t="s">
        <v>466</v>
      </c>
      <c r="C60" s="2" t="s">
        <v>250</v>
      </c>
      <c r="D60" s="2" t="s">
        <v>469</v>
      </c>
      <c r="E60" s="2" t="str">
        <f t="shared" si="0"/>
        <v>category:network;subCategory:bridgeDomainLink;bridge-domain:vlan902_bd;l3out:core_eigrp_pod1_l3out</v>
      </c>
    </row>
    <row r="61" spans="1:5" x14ac:dyDescent="0.25">
      <c r="A61" s="2" t="s">
        <v>90</v>
      </c>
      <c r="B61" s="2" t="s">
        <v>466</v>
      </c>
      <c r="C61" s="2" t="s">
        <v>251</v>
      </c>
      <c r="D61" s="2" t="s">
        <v>469</v>
      </c>
      <c r="E61" s="2" t="str">
        <f t="shared" si="0"/>
        <v>category:network;subCategory:bridgeDomainLink;bridge-domain:vlan903_bd;l3out:core_eigrp_pod1_l3out</v>
      </c>
    </row>
    <row r="62" spans="1:5" x14ac:dyDescent="0.25">
      <c r="A62" s="2" t="s">
        <v>90</v>
      </c>
      <c r="B62" s="2" t="s">
        <v>466</v>
      </c>
      <c r="C62" s="2" t="s">
        <v>252</v>
      </c>
      <c r="D62" s="2" t="s">
        <v>469</v>
      </c>
      <c r="E62" s="2" t="str">
        <f t="shared" si="0"/>
        <v>category:network;subCategory:bridgeDomainLink;bridge-domain:vlan904_bd;l3out:core_eigrp_pod1_l3out</v>
      </c>
    </row>
    <row r="63" spans="1:5" x14ac:dyDescent="0.25">
      <c r="A63" s="2" t="s">
        <v>90</v>
      </c>
      <c r="B63" s="2" t="s">
        <v>466</v>
      </c>
      <c r="C63" s="2" t="s">
        <v>253</v>
      </c>
      <c r="D63" s="2" t="s">
        <v>469</v>
      </c>
      <c r="E63" s="2" t="str">
        <f t="shared" si="0"/>
        <v>category:network;subCategory:bridgeDomainLink;bridge-domain:vlan905_bd;l3out:core_eigrp_pod1_l3out</v>
      </c>
    </row>
    <row r="64" spans="1:5" x14ac:dyDescent="0.25">
      <c r="A64" s="2" t="s">
        <v>90</v>
      </c>
      <c r="B64" s="2" t="s">
        <v>466</v>
      </c>
      <c r="C64" s="2" t="s">
        <v>254</v>
      </c>
      <c r="D64" s="2" t="s">
        <v>469</v>
      </c>
      <c r="E64" s="2" t="str">
        <f t="shared" si="0"/>
        <v>category:network;subCategory:bridgeDomainLink;bridge-domain:vlan906_bd;l3out:core_eigrp_pod1_l3out</v>
      </c>
    </row>
    <row r="65" spans="1:5" x14ac:dyDescent="0.25">
      <c r="A65" s="2" t="s">
        <v>90</v>
      </c>
      <c r="B65" s="2" t="s">
        <v>466</v>
      </c>
      <c r="C65" s="2" t="s">
        <v>255</v>
      </c>
      <c r="D65" s="2" t="s">
        <v>469</v>
      </c>
      <c r="E65" s="2" t="str">
        <f t="shared" si="0"/>
        <v>category:network;subCategory:bridgeDomainLink;bridge-domain:vlan907_bd;l3out:core_eigrp_pod1_l3out</v>
      </c>
    </row>
    <row r="66" spans="1:5" x14ac:dyDescent="0.25">
      <c r="A66" s="2" t="s">
        <v>90</v>
      </c>
      <c r="B66" s="2" t="s">
        <v>466</v>
      </c>
      <c r="C66" s="2" t="s">
        <v>256</v>
      </c>
      <c r="D66" s="2" t="s">
        <v>469</v>
      </c>
      <c r="E66" s="2" t="str">
        <f t="shared" si="0"/>
        <v>category:network;subCategory:bridgeDomainLink;bridge-domain:vlan908_bd;l3out:core_eigrp_pod1_l3out</v>
      </c>
    </row>
    <row r="67" spans="1:5" x14ac:dyDescent="0.25">
      <c r="A67" s="2" t="s">
        <v>90</v>
      </c>
      <c r="B67" s="2" t="s">
        <v>466</v>
      </c>
      <c r="C67" s="2" t="s">
        <v>257</v>
      </c>
      <c r="D67" s="2" t="s">
        <v>469</v>
      </c>
      <c r="E67" s="2" t="str">
        <f t="shared" ref="E67:E70" si="1">CONCATENATE($A$1,":",A67,";",$B$1,":",B67,";",$C$1,":",C67,";",$D$1,":",D67)</f>
        <v>category:network;subCategory:bridgeDomainLink;bridge-domain:vlan909_bd;l3out:core_eigrp_pod1_l3out</v>
      </c>
    </row>
    <row r="68" spans="1:5" x14ac:dyDescent="0.25">
      <c r="A68" s="2" t="s">
        <v>90</v>
      </c>
      <c r="B68" s="2" t="s">
        <v>466</v>
      </c>
      <c r="C68" s="2" t="s">
        <v>258</v>
      </c>
      <c r="D68" s="2" t="s">
        <v>469</v>
      </c>
      <c r="E68" s="2" t="str">
        <f t="shared" si="1"/>
        <v>category:network;subCategory:bridgeDomainLink;bridge-domain:vlan910_bd;l3out:core_eigrp_pod1_l3out</v>
      </c>
    </row>
    <row r="69" spans="1:5" x14ac:dyDescent="0.25">
      <c r="A69" s="2" t="s">
        <v>90</v>
      </c>
      <c r="B69" s="2" t="s">
        <v>466</v>
      </c>
      <c r="C69" s="2" t="s">
        <v>259</v>
      </c>
      <c r="D69" s="2" t="s">
        <v>469</v>
      </c>
      <c r="E69" s="2" t="str">
        <f t="shared" si="1"/>
        <v>category:network;subCategory:bridgeDomainLink;bridge-domain:vlan911_bd;l3out:core_eigrp_pod1_l3out</v>
      </c>
    </row>
    <row r="70" spans="1:5" x14ac:dyDescent="0.25">
      <c r="A70" s="2" t="s">
        <v>90</v>
      </c>
      <c r="B70" s="2" t="s">
        <v>466</v>
      </c>
      <c r="C70" s="2" t="s">
        <v>260</v>
      </c>
      <c r="D70" s="2" t="s">
        <v>469</v>
      </c>
      <c r="E70" s="2" t="str">
        <f t="shared" si="1"/>
        <v>category:network;subCategory:bridgeDomainLink;bridge-domain:vlan912_bd;l3out:core_eigrp_pod1_l3out</v>
      </c>
    </row>
  </sheetData>
  <autoFilter ref="A1:E2" xr:uid="{40F1EB3D-D6A1-4DC8-B7CC-770CB5A30F72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344781-5CC3-44B8-BC3B-91457DB3BD71}">
          <x14:formula1>
            <xm:f>bridge_domain!$F$2:$F$70</xm:f>
          </x14:formula1>
          <xm:sqref>C2:C33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8AD2-0759-4F85-A40E-51877D5342D2}">
  <sheetPr>
    <tabColor theme="9" tint="0.59999389629810485"/>
  </sheetPr>
  <dimension ref="A1:J40"/>
  <sheetViews>
    <sheetView zoomScale="85" zoomScaleNormal="85" workbookViewId="0">
      <selection activeCell="F39" sqref="F39"/>
    </sheetView>
  </sheetViews>
  <sheetFormatPr defaultRowHeight="15" x14ac:dyDescent="0.25"/>
  <cols>
    <col min="2" max="2" width="12" bestFit="1" customWidth="1"/>
    <col min="3" max="3" width="14.28515625" bestFit="1" customWidth="1"/>
    <col min="4" max="4" width="28.28515625" bestFit="1" customWidth="1"/>
    <col min="5" max="5" width="22.85546875" bestFit="1" customWidth="1"/>
    <col min="6" max="6" width="19.85546875" bestFit="1" customWidth="1"/>
    <col min="7" max="7" width="20.5703125" customWidth="1"/>
    <col min="8" max="8" width="20.28515625" customWidth="1"/>
    <col min="9" max="9" width="9.28515625" bestFit="1" customWidth="1"/>
    <col min="10" max="10" width="86.140625" customWidth="1"/>
  </cols>
  <sheetData>
    <row r="1" spans="1:10" x14ac:dyDescent="0.25">
      <c r="A1" s="3" t="s">
        <v>101</v>
      </c>
      <c r="B1" s="3" t="s">
        <v>91</v>
      </c>
      <c r="C1" s="3" t="s">
        <v>2</v>
      </c>
      <c r="D1" s="3" t="s">
        <v>0</v>
      </c>
      <c r="E1" s="3" t="s">
        <v>3</v>
      </c>
      <c r="F1" s="3" t="s">
        <v>4</v>
      </c>
      <c r="G1" s="3" t="s">
        <v>49</v>
      </c>
      <c r="H1" s="3" t="s">
        <v>50</v>
      </c>
      <c r="I1" s="3" t="s">
        <v>51</v>
      </c>
      <c r="J1" s="3" t="s">
        <v>98</v>
      </c>
    </row>
    <row r="2" spans="1:10" x14ac:dyDescent="0.25">
      <c r="A2" s="2" t="s">
        <v>90</v>
      </c>
      <c r="B2" s="2" t="s">
        <v>92</v>
      </c>
      <c r="C2" s="2" t="s">
        <v>45</v>
      </c>
      <c r="D2" s="2" t="s">
        <v>65</v>
      </c>
      <c r="E2" s="2" t="s">
        <v>67</v>
      </c>
      <c r="F2" s="2" t="s">
        <v>58</v>
      </c>
      <c r="G2" s="2" t="s">
        <v>52</v>
      </c>
      <c r="H2" s="2" t="s">
        <v>20</v>
      </c>
      <c r="I2" s="2" t="s">
        <v>29</v>
      </c>
      <c r="J2" s="2" t="str">
        <f>CONCATENATE($A$1,":",A2,";",$B$1,":",B2,";",$C$1,":",C2,";",$D$1,":",D2,";",$E$1,":",E2,";",$F$1,":",F2,";",$G$1,":",G2,";",$H$1,":",H2,";",$I$1,":",I2)</f>
        <v>category:network;subCategory:epg;bridge_domain:bd-vlan100;name:subnet_VLAN100_192.168.10.1;nameAlias:VLAN100_test_subnet01;descr:VLAN100-TestSubnet;ip:192.168.10.1/24;preferred:no;virtual:yes</v>
      </c>
    </row>
    <row r="3" spans="1:10" x14ac:dyDescent="0.25">
      <c r="A3" s="2" t="s">
        <v>90</v>
      </c>
      <c r="B3" s="2" t="s">
        <v>92</v>
      </c>
      <c r="C3" s="2" t="s">
        <v>45</v>
      </c>
      <c r="D3" s="2" t="s">
        <v>66</v>
      </c>
      <c r="E3" s="2" t="s">
        <v>69</v>
      </c>
      <c r="F3" s="2" t="s">
        <v>58</v>
      </c>
      <c r="G3" s="2" t="s">
        <v>53</v>
      </c>
      <c r="H3" s="2" t="s">
        <v>20</v>
      </c>
      <c r="I3" s="2" t="s">
        <v>29</v>
      </c>
      <c r="J3" s="2" t="str">
        <f t="shared" ref="J3:J7" si="0">CONCATENATE($A$1,":",A3,";",$B$1,":",B3,";",$C$1,":",C3,";",$D$1,":",D3,";",$E$1,":",E3,";",$F$1,":",F3,";",$G$1,":",G3,";",$H$1,":",H3,";",$I$1,":",I3)</f>
        <v>category:network;subCategory:epg;bridge_domain:bd-vlan100;name:subnet_VLAN100_192.168.11.1;nameAlias:VLAN100_test_subnet02;descr:VLAN100-TestSubnet;ip:192.168.11.1/24;preferred:no;virtual:yes</v>
      </c>
    </row>
    <row r="4" spans="1:10" x14ac:dyDescent="0.25">
      <c r="A4" s="2" t="s">
        <v>90</v>
      </c>
      <c r="B4" s="2" t="s">
        <v>92</v>
      </c>
      <c r="C4" s="2" t="s">
        <v>46</v>
      </c>
      <c r="D4" s="2" t="s">
        <v>61</v>
      </c>
      <c r="E4" s="2" t="s">
        <v>68</v>
      </c>
      <c r="F4" s="2" t="s">
        <v>59</v>
      </c>
      <c r="G4" s="2" t="s">
        <v>54</v>
      </c>
      <c r="H4" s="2" t="s">
        <v>20</v>
      </c>
      <c r="I4" s="2" t="s">
        <v>29</v>
      </c>
      <c r="J4" s="2" t="str">
        <f t="shared" si="0"/>
        <v>category:network;subCategory:epg;bridge_domain:bd-vlan101;name:subnet_VLAN101_192.168.12.1;nameAlias:VLAN101_test_subnet01;descr:VLAN101-TestSubnet;ip:192.168.12.1/24;preferred:no;virtual:yes</v>
      </c>
    </row>
    <row r="5" spans="1:10" x14ac:dyDescent="0.25">
      <c r="A5" s="2" t="s">
        <v>90</v>
      </c>
      <c r="B5" s="2" t="s">
        <v>92</v>
      </c>
      <c r="C5" s="2" t="s">
        <v>46</v>
      </c>
      <c r="D5" s="2" t="s">
        <v>62</v>
      </c>
      <c r="E5" s="2" t="s">
        <v>70</v>
      </c>
      <c r="F5" s="2" t="s">
        <v>59</v>
      </c>
      <c r="G5" s="2" t="s">
        <v>55</v>
      </c>
      <c r="H5" s="2" t="s">
        <v>20</v>
      </c>
      <c r="I5" s="2" t="s">
        <v>29</v>
      </c>
      <c r="J5" s="2" t="str">
        <f t="shared" si="0"/>
        <v>category:network;subCategory:epg;bridge_domain:bd-vlan101;name:subnet_VLAN101_192.168.13.1;nameAlias:VLAN101_test_subnet02;descr:VLAN101-TestSubnet;ip:192.168.13.1/24;preferred:no;virtual:yes</v>
      </c>
    </row>
    <row r="6" spans="1:10" x14ac:dyDescent="0.25">
      <c r="A6" s="2" t="s">
        <v>90</v>
      </c>
      <c r="B6" s="2" t="s">
        <v>92</v>
      </c>
      <c r="C6" s="2" t="s">
        <v>47</v>
      </c>
      <c r="D6" s="2" t="s">
        <v>63</v>
      </c>
      <c r="E6" s="2" t="s">
        <v>71</v>
      </c>
      <c r="F6" s="2" t="s">
        <v>60</v>
      </c>
      <c r="G6" s="2" t="s">
        <v>56</v>
      </c>
      <c r="H6" s="2" t="s">
        <v>20</v>
      </c>
      <c r="I6" s="2" t="s">
        <v>29</v>
      </c>
      <c r="J6" s="2" t="str">
        <f t="shared" si="0"/>
        <v>category:network;subCategory:epg;bridge_domain:bd-vlan102;name:subnet_VLAN101_192.168.14.1;nameAlias:VLAN102_test_subnet01;descr:VLAN102-TestSubnet;ip:192.168.14.1/24;preferred:no;virtual:yes</v>
      </c>
    </row>
    <row r="7" spans="1:10" x14ac:dyDescent="0.25">
      <c r="A7" s="2" t="s">
        <v>90</v>
      </c>
      <c r="B7" s="2" t="s">
        <v>92</v>
      </c>
      <c r="C7" s="2" t="s">
        <v>47</v>
      </c>
      <c r="D7" s="2" t="s">
        <v>64</v>
      </c>
      <c r="E7" s="2" t="s">
        <v>72</v>
      </c>
      <c r="F7" s="2" t="s">
        <v>60</v>
      </c>
      <c r="G7" s="2" t="s">
        <v>57</v>
      </c>
      <c r="H7" s="2" t="s">
        <v>20</v>
      </c>
      <c r="I7" s="2" t="s">
        <v>29</v>
      </c>
      <c r="J7" s="2" t="str">
        <f t="shared" si="0"/>
        <v>category:network;subCategory:epg;bridge_domain:bd-vlan102;name:subnet_VLAN101_192.168.15.1;nameAlias:VLAN102_test_subnet02;descr:VLAN102-TestSubnet;ip:192.168.15.1/24;preferred:no;virtual:yes</v>
      </c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</sheetData>
  <autoFilter ref="A1:J40" xr:uid="{ABB2B192-51A0-4359-A35A-E6498F5423F6}"/>
  <pageMargins left="0.7" right="0.7" top="0.75" bottom="0.75" header="0.3" footer="0.3"/>
  <pageSetup paperSize="9" orientation="portrait" horizontalDpi="90" verticalDpi="9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A5DA-4F63-40A3-AC67-E4344785E21E}">
  <sheetPr>
    <tabColor theme="9" tint="0.59999389629810485"/>
  </sheetPr>
  <dimension ref="A1:N40"/>
  <sheetViews>
    <sheetView zoomScale="90" zoomScaleNormal="90" workbookViewId="0">
      <selection activeCell="L2" sqref="L2:L4"/>
    </sheetView>
  </sheetViews>
  <sheetFormatPr defaultRowHeight="15" x14ac:dyDescent="0.25"/>
  <cols>
    <col min="1" max="1" width="11.140625" bestFit="1" customWidth="1"/>
    <col min="2" max="2" width="14.42578125" bestFit="1" customWidth="1"/>
    <col min="3" max="3" width="13.42578125" bestFit="1" customWidth="1"/>
    <col min="4" max="4" width="15" bestFit="1" customWidth="1"/>
    <col min="5" max="5" width="14.140625" customWidth="1"/>
    <col min="6" max="6" width="18.7109375" customWidth="1"/>
    <col min="7" max="7" width="19.5703125" bestFit="1" customWidth="1"/>
    <col min="8" max="8" width="19.140625" bestFit="1" customWidth="1"/>
    <col min="9" max="9" width="19.42578125" bestFit="1" customWidth="1"/>
    <col min="10" max="10" width="22" bestFit="1" customWidth="1"/>
    <col min="11" max="11" width="27.85546875" bestFit="1" customWidth="1"/>
    <col min="12" max="12" width="82" customWidth="1"/>
    <col min="13" max="13" width="14.42578125" bestFit="1" customWidth="1"/>
    <col min="14" max="14" width="15.140625" bestFit="1" customWidth="1"/>
  </cols>
  <sheetData>
    <row r="1" spans="1:14" x14ac:dyDescent="0.25">
      <c r="A1" s="3" t="s">
        <v>101</v>
      </c>
      <c r="B1" s="3" t="s">
        <v>91</v>
      </c>
      <c r="C1" s="3" t="s">
        <v>13</v>
      </c>
      <c r="D1" s="3" t="s">
        <v>0</v>
      </c>
      <c r="E1" s="3" t="s">
        <v>3</v>
      </c>
      <c r="F1" s="3" t="s">
        <v>16</v>
      </c>
      <c r="G1" s="3" t="s">
        <v>15</v>
      </c>
      <c r="H1" s="3" t="s">
        <v>14</v>
      </c>
      <c r="I1" s="3" t="s">
        <v>18</v>
      </c>
      <c r="J1" s="3" t="s">
        <v>17</v>
      </c>
      <c r="K1" s="3" t="s">
        <v>4</v>
      </c>
      <c r="L1" s="3" t="s">
        <v>98</v>
      </c>
      <c r="M1" s="1"/>
      <c r="N1" s="1"/>
    </row>
    <row r="2" spans="1:14" x14ac:dyDescent="0.25">
      <c r="A2" s="4" t="s">
        <v>90</v>
      </c>
      <c r="B2" s="4" t="s">
        <v>103</v>
      </c>
      <c r="C2" s="4" t="s">
        <v>515</v>
      </c>
      <c r="D2" s="4" t="s">
        <v>104</v>
      </c>
      <c r="E2" s="4"/>
      <c r="F2" s="4" t="s">
        <v>19</v>
      </c>
      <c r="G2" s="4" t="s">
        <v>12</v>
      </c>
      <c r="H2" s="4" t="s">
        <v>20</v>
      </c>
      <c r="I2" s="4" t="s">
        <v>10</v>
      </c>
      <c r="J2" s="4" t="s">
        <v>11</v>
      </c>
      <c r="K2" s="4" t="s">
        <v>261</v>
      </c>
      <c r="L2" s="4" t="str">
        <f>CONCATENATE($A$1,":",A2,";",$B$1,":",B2,";",$C$1,":",C2,";",$D$1,":",D2,";",$E$1,":",E2,";",$F$1,":",F2,";",$G$1,":",G2,";",$H$1,":",H2,";",$I$1,":",I2,";",$J$1,":",J2,";",$K$1,":",K2)</f>
        <v>category:network;subCategory:vrf;tenant:JUICE;name:core;nameAlias:;knwMcastAct:permit;ipDataPlaneLearning:enabled;bdEnforcedEnable:no;pcEnfPref:enforced;pcEnfDir:ingress;descr:Core Production VRF</v>
      </c>
    </row>
    <row r="3" spans="1:14" x14ac:dyDescent="0.25">
      <c r="A3" s="4" t="s">
        <v>90</v>
      </c>
      <c r="B3" s="4" t="s">
        <v>103</v>
      </c>
      <c r="C3" s="4" t="s">
        <v>515</v>
      </c>
      <c r="D3" s="4" t="s">
        <v>5</v>
      </c>
      <c r="E3" s="4" t="s">
        <v>7</v>
      </c>
      <c r="F3" s="4" t="s">
        <v>19</v>
      </c>
      <c r="G3" s="4" t="s">
        <v>12</v>
      </c>
      <c r="H3" s="4" t="s">
        <v>20</v>
      </c>
      <c r="I3" s="4" t="s">
        <v>10</v>
      </c>
      <c r="J3" s="4" t="s">
        <v>11</v>
      </c>
      <c r="K3" s="4" t="s">
        <v>9</v>
      </c>
      <c r="L3" s="4" t="str">
        <f t="shared" ref="L3:L4" si="0">CONCATENATE($A$1,":",A3,";",$B$1,":",B3,";",$C$1,":",C3,";",$D$1,":",D3,";",$E$1,":",E3,";",$F$1,":",F3,";",$G$1,":",G3,";",$H$1,":",H3,";",$I$1,":",I3,";",$J$1,":",J3,";",$K$1,":",K3)</f>
        <v>category:network;subCategory:vrf;tenant:JUICE;name:non-production;nameAlias:non-prod;knwMcastAct:permit;ipDataPlaneLearning:enabled;bdEnforcedEnable:no;pcEnfPref:enforced;pcEnfDir:ingress;descr:Non-production security zone</v>
      </c>
    </row>
    <row r="4" spans="1:14" x14ac:dyDescent="0.25">
      <c r="A4" s="4" t="s">
        <v>90</v>
      </c>
      <c r="B4" s="4" t="s">
        <v>103</v>
      </c>
      <c r="C4" s="4" t="s">
        <v>515</v>
      </c>
      <c r="D4" s="4" t="s">
        <v>6</v>
      </c>
      <c r="E4" s="4" t="s">
        <v>6</v>
      </c>
      <c r="F4" s="4" t="s">
        <v>19</v>
      </c>
      <c r="G4" s="4" t="s">
        <v>12</v>
      </c>
      <c r="H4" s="4" t="s">
        <v>20</v>
      </c>
      <c r="I4" s="4" t="s">
        <v>10</v>
      </c>
      <c r="J4" s="4" t="s">
        <v>11</v>
      </c>
      <c r="K4" s="4" t="s">
        <v>8</v>
      </c>
      <c r="L4" s="4" t="str">
        <f t="shared" si="0"/>
        <v>category:network;subCategory:vrf;tenant:JUICE;name:dmz;nameAlias:dmz;knwMcastAct:permit;ipDataPlaneLearning:enabled;bdEnforcedEnable:no;pcEnfPref:enforced;pcEnfDir:ingress;descr:DMZ security zone</v>
      </c>
    </row>
    <row r="5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4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4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4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4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</sheetData>
  <autoFilter ref="A1:L4" xr:uid="{34F88DDE-2BFE-47BC-8F65-D8E1C306B1A3}"/>
  <pageMargins left="0.7" right="0.7" top="0.75" bottom="0.75" header="0.3" footer="0.3"/>
  <pageSetup paperSize="9" orientation="portrait" horizontalDpi="90" verticalDpi="9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699C7-4220-4070-AC79-698392DA730E}">
  <sheetPr>
    <tabColor rgb="FFFFFF00"/>
  </sheetPr>
  <dimension ref="A1:K40"/>
  <sheetViews>
    <sheetView zoomScale="85" zoomScaleNormal="85" workbookViewId="0">
      <selection activeCell="K6" sqref="K6"/>
    </sheetView>
  </sheetViews>
  <sheetFormatPr defaultRowHeight="15" x14ac:dyDescent="0.25"/>
  <cols>
    <col min="1" max="1" width="8.5703125" bestFit="1" customWidth="1"/>
    <col min="2" max="2" width="12" bestFit="1" customWidth="1"/>
    <col min="3" max="3" width="18" customWidth="1"/>
    <col min="4" max="4" width="10.85546875" customWidth="1"/>
    <col min="5" max="5" width="10.28515625" bestFit="1" customWidth="1"/>
    <col min="6" max="6" width="8.5703125" bestFit="1" customWidth="1"/>
    <col min="7" max="7" width="29" customWidth="1"/>
    <col min="8" max="8" width="15.42578125" bestFit="1" customWidth="1"/>
    <col min="9" max="9" width="9.7109375" customWidth="1"/>
    <col min="10" max="10" width="18.7109375" customWidth="1"/>
    <col min="11" max="11" width="92" customWidth="1"/>
  </cols>
  <sheetData>
    <row r="1" spans="1:11" x14ac:dyDescent="0.25">
      <c r="A1" s="3" t="s">
        <v>101</v>
      </c>
      <c r="B1" s="3" t="s">
        <v>91</v>
      </c>
      <c r="C1" s="3" t="s">
        <v>13</v>
      </c>
      <c r="D1" s="3" t="s">
        <v>0</v>
      </c>
      <c r="E1" s="3" t="s">
        <v>3</v>
      </c>
      <c r="F1" s="3" t="s">
        <v>107</v>
      </c>
      <c r="G1" s="3" t="s">
        <v>4</v>
      </c>
      <c r="H1" s="3" t="s">
        <v>86</v>
      </c>
      <c r="I1" s="3" t="s">
        <v>87</v>
      </c>
      <c r="J1" s="3" t="s">
        <v>85</v>
      </c>
      <c r="K1" s="3" t="s">
        <v>100</v>
      </c>
    </row>
    <row r="2" spans="1:11" x14ac:dyDescent="0.25">
      <c r="A2" s="2" t="s">
        <v>108</v>
      </c>
      <c r="B2" s="2" t="s">
        <v>109</v>
      </c>
      <c r="C2" s="2" t="s">
        <v>99</v>
      </c>
      <c r="D2" s="2" t="s">
        <v>130</v>
      </c>
      <c r="E2" s="2"/>
      <c r="F2" s="2" t="s">
        <v>13</v>
      </c>
      <c r="G2" s="2"/>
      <c r="H2" s="2" t="s">
        <v>20</v>
      </c>
      <c r="I2" s="2" t="s">
        <v>88</v>
      </c>
      <c r="J2" s="2" t="s">
        <v>89</v>
      </c>
      <c r="K2" s="2" t="str">
        <f>CONCATENATE($A$1,":",A2,";",$B$1,":",B2,";",$C$1,":",C2,";",$D$1,":",D2,";",$E$1,":",E2,";",$F$1,":",F2,";",$G$1,":",G2,";",$H$1,":",H2,";",$I$1,":",I2,";",$J$1,":",J2)</f>
        <v>category:security;subCategory:contract;tenant:RCH;name:any_con;nameAlias:;scope:tenant;descr:;reevaluateAll:no;prio:level3;targetDscp:unspecified</v>
      </c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</sheetData>
  <autoFilter ref="A1:K5" xr:uid="{13D8092F-5F95-4AC5-A2BE-A07AEA3DEBDB}"/>
  <phoneticPr fontId="2" type="noConversion"/>
  <pageMargins left="0.7" right="0.7" top="0.75" bottom="0.75" header="0.3" footer="0.3"/>
  <pageSetup paperSize="9" orientation="portrait" horizontalDpi="90" verticalDpi="9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AC9CF-4EF4-4D6A-9335-B2EB3B30632D}">
  <sheetPr>
    <tabColor rgb="FFFFFF00"/>
  </sheetPr>
  <dimension ref="A1:K40"/>
  <sheetViews>
    <sheetView zoomScale="85" zoomScaleNormal="85" workbookViewId="0">
      <selection activeCell="K7" sqref="K7"/>
    </sheetView>
  </sheetViews>
  <sheetFormatPr defaultRowHeight="15" x14ac:dyDescent="0.25"/>
  <cols>
    <col min="2" max="2" width="12.5703125" customWidth="1"/>
    <col min="3" max="3" width="17.7109375" customWidth="1"/>
    <col min="5" max="5" width="10.28515625" bestFit="1" customWidth="1"/>
    <col min="6" max="7" width="11.5703125" bestFit="1" customWidth="1"/>
    <col min="9" max="9" width="13.140625" bestFit="1" customWidth="1"/>
    <col min="10" max="10" width="14.140625" customWidth="1"/>
    <col min="11" max="11" width="40.140625" customWidth="1"/>
  </cols>
  <sheetData>
    <row r="1" spans="1:11" x14ac:dyDescent="0.25">
      <c r="A1" s="3" t="s">
        <v>101</v>
      </c>
      <c r="B1" s="3" t="s">
        <v>91</v>
      </c>
      <c r="C1" s="3" t="s">
        <v>109</v>
      </c>
      <c r="D1" s="3" t="s">
        <v>0</v>
      </c>
      <c r="E1" s="3" t="s">
        <v>3</v>
      </c>
      <c r="F1" s="3" t="s">
        <v>110</v>
      </c>
      <c r="G1" s="3" t="s">
        <v>111</v>
      </c>
      <c r="H1" s="3" t="s">
        <v>4</v>
      </c>
      <c r="I1" s="3" t="s">
        <v>112</v>
      </c>
      <c r="J1" s="3" t="s">
        <v>85</v>
      </c>
      <c r="K1" s="3" t="s">
        <v>100</v>
      </c>
    </row>
    <row r="2" spans="1:11" x14ac:dyDescent="0.25">
      <c r="A2" s="2" t="s">
        <v>108</v>
      </c>
      <c r="B2" s="2" t="s">
        <v>113</v>
      </c>
      <c r="C2" s="2" t="s">
        <v>130</v>
      </c>
      <c r="D2" s="2" t="s">
        <v>262</v>
      </c>
      <c r="E2" s="2"/>
      <c r="F2" s="2" t="s">
        <v>82</v>
      </c>
      <c r="G2" s="2" t="s">
        <v>82</v>
      </c>
      <c r="H2" s="2"/>
      <c r="I2" s="2" t="s">
        <v>29</v>
      </c>
      <c r="J2" s="2" t="s">
        <v>89</v>
      </c>
      <c r="K2" s="2" t="str">
        <f>CONCATENATE($A$1,":",A2,";",$B$1,":",B2,";",$C$1,":",C2,";",$D$1,":",D2,";",$E$1,":",E2,";",$F$1,":",F2,";",$G$1,":",G2,";",$H$1,":",H2,";",$I$1,":",I2,";",$J$1,":",J2)</f>
        <v>category:security;subCategory:subject;contract:any_con;name:any_subj;nameAlias:;consMatchT:AtleastOne;provMatchT:AtleastOne;descr:;revFltPorts:yes;targetDscp:unspecified</v>
      </c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</sheetData>
  <autoFilter ref="A1:K40" xr:uid="{71F8A359-D5B1-47BA-B5CA-B73F8ED7DB39}"/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7299B-F999-41F1-A67E-12B65372E7D6}">
  <sheetPr>
    <tabColor rgb="FFFFFF00"/>
  </sheetPr>
  <dimension ref="A1:G40"/>
  <sheetViews>
    <sheetView zoomScale="85" zoomScaleNormal="85" workbookViewId="0">
      <selection activeCell="G2" sqref="G2"/>
    </sheetView>
  </sheetViews>
  <sheetFormatPr defaultRowHeight="15" x14ac:dyDescent="0.25"/>
  <cols>
    <col min="1" max="1" width="17.28515625" customWidth="1"/>
    <col min="2" max="2" width="14.85546875" customWidth="1"/>
    <col min="3" max="3" width="19" customWidth="1"/>
    <col min="4" max="4" width="15.28515625" customWidth="1"/>
    <col min="5" max="5" width="19.7109375" customWidth="1"/>
    <col min="6" max="6" width="13.140625" bestFit="1" customWidth="1"/>
    <col min="7" max="7" width="27.7109375" customWidth="1"/>
  </cols>
  <sheetData>
    <row r="1" spans="1:7" x14ac:dyDescent="0.25">
      <c r="A1" s="3" t="s">
        <v>101</v>
      </c>
      <c r="B1" s="3" t="s">
        <v>91</v>
      </c>
      <c r="C1" s="3" t="s">
        <v>113</v>
      </c>
      <c r="D1" s="3" t="s">
        <v>0</v>
      </c>
      <c r="E1" s="3" t="s">
        <v>3</v>
      </c>
      <c r="F1" s="3" t="s">
        <v>84</v>
      </c>
      <c r="G1" s="3" t="s">
        <v>100</v>
      </c>
    </row>
    <row r="2" spans="1:7" x14ac:dyDescent="0.25">
      <c r="A2" s="2" t="s">
        <v>108</v>
      </c>
      <c r="B2" s="2" t="s">
        <v>114</v>
      </c>
      <c r="C2" s="2" t="s">
        <v>262</v>
      </c>
      <c r="D2" s="2" t="s">
        <v>263</v>
      </c>
      <c r="E2" s="2"/>
      <c r="F2" s="2"/>
      <c r="G2" s="2" t="str">
        <f>CONCATENATE($A$1,":",A2,";",$B$1,":",B2,";",$C$1,":",C2,";",$D$1,":",D2,";",$E$1,":",E2,";",$F$1,":",F2)</f>
        <v>category:security;subCategory:filter;subject:any_subj;name:any_filt;nameAlias:;tag:</v>
      </c>
    </row>
    <row r="3" spans="1:7" x14ac:dyDescent="0.25">
      <c r="A3" s="2"/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2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2"/>
      <c r="C24" s="2"/>
      <c r="D24" s="2"/>
      <c r="E24" s="2"/>
      <c r="F24" s="2"/>
      <c r="G24" s="2"/>
    </row>
    <row r="25" spans="1:7" x14ac:dyDescent="0.25">
      <c r="A25" s="2"/>
      <c r="B25" s="2"/>
      <c r="C25" s="2"/>
      <c r="D25" s="2"/>
      <c r="E25" s="2"/>
      <c r="F25" s="2"/>
      <c r="G25" s="2"/>
    </row>
    <row r="26" spans="1:7" x14ac:dyDescent="0.25">
      <c r="A26" s="2"/>
      <c r="B26" s="2"/>
      <c r="C26" s="2"/>
      <c r="D26" s="2"/>
      <c r="E26" s="2"/>
      <c r="F26" s="2"/>
      <c r="G26" s="2"/>
    </row>
    <row r="27" spans="1:7" x14ac:dyDescent="0.25">
      <c r="A27" s="2"/>
      <c r="B27" s="2"/>
      <c r="C27" s="2"/>
      <c r="D27" s="2"/>
      <c r="E27" s="2"/>
      <c r="F27" s="2"/>
      <c r="G27" s="2"/>
    </row>
    <row r="28" spans="1:7" x14ac:dyDescent="0.25">
      <c r="A28" s="2"/>
      <c r="B28" s="2"/>
      <c r="C28" s="2"/>
      <c r="D28" s="2"/>
      <c r="E28" s="2"/>
      <c r="F28" s="2"/>
      <c r="G28" s="2"/>
    </row>
    <row r="29" spans="1:7" x14ac:dyDescent="0.25">
      <c r="A29" s="2"/>
      <c r="B29" s="2"/>
      <c r="C29" s="2"/>
      <c r="D29" s="2"/>
      <c r="E29" s="2"/>
      <c r="F29" s="2"/>
      <c r="G29" s="2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2"/>
      <c r="B31" s="2"/>
      <c r="C31" s="2"/>
      <c r="D31" s="2"/>
      <c r="E31" s="2"/>
      <c r="F31" s="2"/>
      <c r="G31" s="2"/>
    </row>
    <row r="32" spans="1:7" x14ac:dyDescent="0.25">
      <c r="A32" s="2"/>
      <c r="B32" s="2"/>
      <c r="C32" s="2"/>
      <c r="D32" s="2"/>
      <c r="E32" s="2"/>
      <c r="F32" s="2"/>
      <c r="G32" s="2"/>
    </row>
    <row r="33" spans="1:7" x14ac:dyDescent="0.25">
      <c r="A33" s="2"/>
      <c r="B33" s="2"/>
      <c r="C33" s="2"/>
      <c r="D33" s="2"/>
      <c r="E33" s="2"/>
      <c r="F33" s="2"/>
      <c r="G33" s="2"/>
    </row>
    <row r="34" spans="1:7" x14ac:dyDescent="0.25">
      <c r="A34" s="2"/>
      <c r="B34" s="2"/>
      <c r="C34" s="2"/>
      <c r="D34" s="2"/>
      <c r="E34" s="2"/>
      <c r="F34" s="2"/>
      <c r="G34" s="2"/>
    </row>
    <row r="35" spans="1:7" x14ac:dyDescent="0.25">
      <c r="A35" s="2"/>
      <c r="B35" s="2"/>
      <c r="C35" s="2"/>
      <c r="D35" s="2"/>
      <c r="E35" s="2"/>
      <c r="F35" s="2"/>
      <c r="G35" s="2"/>
    </row>
    <row r="36" spans="1:7" x14ac:dyDescent="0.25">
      <c r="A36" s="2"/>
      <c r="B36" s="2"/>
      <c r="C36" s="2"/>
      <c r="D36" s="2"/>
      <c r="E36" s="2"/>
      <c r="F36" s="2"/>
      <c r="G36" s="2"/>
    </row>
    <row r="37" spans="1:7" x14ac:dyDescent="0.25">
      <c r="A37" s="2"/>
      <c r="B37" s="2"/>
      <c r="C37" s="2"/>
      <c r="D37" s="2"/>
      <c r="E37" s="2"/>
      <c r="F37" s="2"/>
      <c r="G37" s="2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2"/>
      <c r="B39" s="2"/>
      <c r="C39" s="2"/>
      <c r="D39" s="2"/>
      <c r="E39" s="2"/>
      <c r="F39" s="2"/>
      <c r="G39" s="2"/>
    </row>
    <row r="40" spans="1:7" x14ac:dyDescent="0.25">
      <c r="A40" s="2"/>
      <c r="B40" s="2"/>
      <c r="C40" s="2"/>
      <c r="D40" s="2"/>
      <c r="E40" s="2"/>
      <c r="F40" s="2"/>
      <c r="G40" s="2"/>
    </row>
  </sheetData>
  <autoFilter ref="A1:G40" xr:uid="{8765F7E6-A6EF-49AE-B974-E7C23BF5F5AC}"/>
  <phoneticPr fontId="2" type="noConversion"/>
  <pageMargins left="0.7" right="0.7" top="0.75" bottom="0.75" header="0.3" footer="0.3"/>
  <pageSetup paperSize="9" orientation="portrait" horizontalDpi="90" verticalDpi="9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24D8D-CE12-4AC6-BB06-F3B1EDEF491D}">
  <sheetPr>
    <tabColor rgb="FFFFFF00"/>
  </sheetPr>
  <dimension ref="A1:T40"/>
  <sheetViews>
    <sheetView zoomScale="85" zoomScaleNormal="85" workbookViewId="0">
      <selection activeCell="J23" sqref="J23"/>
    </sheetView>
  </sheetViews>
  <sheetFormatPr defaultRowHeight="15" x14ac:dyDescent="0.25"/>
  <cols>
    <col min="2" max="2" width="12" bestFit="1" customWidth="1"/>
    <col min="3" max="3" width="14.140625" customWidth="1"/>
    <col min="4" max="4" width="12.85546875" customWidth="1"/>
    <col min="5" max="5" width="12.5703125" customWidth="1"/>
    <col min="7" max="7" width="11.7109375" bestFit="1" customWidth="1"/>
    <col min="8" max="15" width="11.42578125" bestFit="1" customWidth="1"/>
    <col min="16" max="16" width="10.140625" bestFit="1" customWidth="1"/>
    <col min="17" max="17" width="7.7109375" bestFit="1" customWidth="1"/>
    <col min="18" max="18" width="7.85546875" bestFit="1" customWidth="1"/>
    <col min="19" max="19" width="8.5703125" bestFit="1" customWidth="1"/>
    <col min="20" max="20" width="41.42578125" customWidth="1"/>
  </cols>
  <sheetData>
    <row r="1" spans="1:20" x14ac:dyDescent="0.25">
      <c r="A1" s="3" t="s">
        <v>101</v>
      </c>
      <c r="B1" s="3" t="s">
        <v>91</v>
      </c>
      <c r="C1" s="3" t="s">
        <v>114</v>
      </c>
      <c r="D1" s="3" t="s">
        <v>0</v>
      </c>
      <c r="E1" s="3" t="s">
        <v>3</v>
      </c>
      <c r="F1" s="3" t="s">
        <v>84</v>
      </c>
      <c r="G1" s="3" t="s">
        <v>115</v>
      </c>
      <c r="H1" s="3" t="s">
        <v>118</v>
      </c>
      <c r="I1" s="3" t="s">
        <v>119</v>
      </c>
      <c r="J1" s="5" t="s">
        <v>120</v>
      </c>
      <c r="K1" s="3" t="s">
        <v>121</v>
      </c>
      <c r="L1" s="3" t="s">
        <v>122</v>
      </c>
      <c r="M1" s="3" t="s">
        <v>123</v>
      </c>
      <c r="N1" s="3" t="s">
        <v>124</v>
      </c>
      <c r="O1" s="3" t="s">
        <v>125</v>
      </c>
      <c r="P1" s="3" t="s">
        <v>126</v>
      </c>
      <c r="Q1" s="3" t="s">
        <v>127</v>
      </c>
      <c r="R1" s="3" t="s">
        <v>128</v>
      </c>
      <c r="S1" s="3" t="s">
        <v>129</v>
      </c>
      <c r="T1" s="3" t="s">
        <v>100</v>
      </c>
    </row>
    <row r="2" spans="1:20" x14ac:dyDescent="0.25">
      <c r="A2" s="2" t="s">
        <v>108</v>
      </c>
      <c r="B2" s="2" t="s">
        <v>117</v>
      </c>
      <c r="C2" s="2" t="s">
        <v>263</v>
      </c>
      <c r="D2" s="2" t="s">
        <v>116</v>
      </c>
      <c r="E2" s="2"/>
      <c r="F2" s="2"/>
      <c r="G2" s="2" t="s">
        <v>20</v>
      </c>
      <c r="H2" s="2" t="s">
        <v>89</v>
      </c>
      <c r="I2" s="2" t="s">
        <v>89</v>
      </c>
      <c r="J2" s="2" t="s">
        <v>89</v>
      </c>
      <c r="K2" s="2" t="s">
        <v>89</v>
      </c>
      <c r="L2" s="2" t="s">
        <v>89</v>
      </c>
      <c r="M2" s="2" t="s">
        <v>89</v>
      </c>
      <c r="N2" s="2" t="s">
        <v>89</v>
      </c>
      <c r="O2" s="2" t="s">
        <v>89</v>
      </c>
      <c r="P2" s="2"/>
      <c r="Q2" s="2"/>
      <c r="R2" s="2" t="s">
        <v>20</v>
      </c>
      <c r="S2" s="2"/>
      <c r="T2" s="2" t="str">
        <f>CONCATENATE($A$1,":",A2,";",$B$1,":",B2,";",$C$1,":",C2,";",$D$1,":",D2,";",$E$1,":",E2,";",$F$1,":",F2,";",$G$1,":",G2,";",$H$1,":",H2,";",$I$1,":",I2,";",$J$1,":",J2,";",$K$1,":",K2,";",$L$1,":",L2,";",$M$1,":",M2,";",$N$1,":",N2,";",$O$1,":",O2,";",$P$1,":",P2,";",$Q$1,":",Q2,";",$R$1,":",R2,";",$S$1,":",S2)</f>
        <v>category:security;subCategory:filterEntry;filter:any_filt;name:any;nameAlias:;tag:;applyToFrag:no;arpOpc:unspecified;dFromPort:unspecified;dToPort:unspecified;etherT:unspecified;icmpv4T:unspecified;icmpv6T:unspecified;matchDscp:unspecified;prot:unspecified;sFromPort:;sToPort:;stateful:no;tcpRules:</v>
      </c>
    </row>
    <row r="3" spans="1:2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</sheetData>
  <autoFilter ref="A1:T40" xr:uid="{4E547715-CA50-45F1-8E08-9C97F5532D66}"/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11FDC-E6BF-4792-BA65-B41F62236B9A}">
  <sheetPr>
    <tabColor theme="8" tint="0.59999389629810485"/>
  </sheetPr>
  <dimension ref="A1:J43"/>
  <sheetViews>
    <sheetView zoomScale="85" zoomScaleNormal="85" workbookViewId="0">
      <selection activeCell="G37" sqref="G37"/>
    </sheetView>
  </sheetViews>
  <sheetFormatPr defaultRowHeight="15" x14ac:dyDescent="0.25"/>
  <cols>
    <col min="2" max="2" width="14.28515625" bestFit="1" customWidth="1"/>
    <col min="3" max="3" width="12" bestFit="1" customWidth="1"/>
    <col min="4" max="4" width="12.5703125" bestFit="1" customWidth="1"/>
    <col min="5" max="5" width="15.85546875" bestFit="1" customWidth="1"/>
    <col min="6" max="6" width="15.28515625" bestFit="1" customWidth="1"/>
    <col min="7" max="7" width="14.5703125" bestFit="1" customWidth="1"/>
    <col min="8" max="8" width="12.5703125" bestFit="1" customWidth="1"/>
    <col min="9" max="9" width="8" bestFit="1" customWidth="1"/>
    <col min="10" max="10" width="56.140625" customWidth="1"/>
  </cols>
  <sheetData>
    <row r="1" spans="1:10" x14ac:dyDescent="0.25">
      <c r="A1" s="3" t="s">
        <v>101</v>
      </c>
      <c r="B1" s="3" t="s">
        <v>91</v>
      </c>
      <c r="C1" s="3" t="s">
        <v>275</v>
      </c>
      <c r="D1" s="3" t="s">
        <v>276</v>
      </c>
      <c r="E1" s="3" t="s">
        <v>0</v>
      </c>
      <c r="F1" s="3" t="s">
        <v>277</v>
      </c>
      <c r="G1" s="3" t="s">
        <v>278</v>
      </c>
      <c r="H1" s="3" t="s">
        <v>3</v>
      </c>
      <c r="I1" s="3" t="s">
        <v>4</v>
      </c>
      <c r="J1" s="3" t="s">
        <v>100</v>
      </c>
    </row>
    <row r="2" spans="1:10" x14ac:dyDescent="0.25">
      <c r="A2" s="8" t="s">
        <v>273</v>
      </c>
      <c r="B2" s="8" t="s">
        <v>274</v>
      </c>
      <c r="C2" s="8" t="str">
        <f>CONCATENATE("Leaf",D2)</f>
        <v>Leaf101</v>
      </c>
      <c r="D2" s="8">
        <v>101</v>
      </c>
      <c r="E2" s="8" t="s">
        <v>279</v>
      </c>
      <c r="F2" s="8" t="str">
        <f>CONCATENATE(SUBSTITUTE(D2,"-","_"),"_intProf")</f>
        <v>101_intProf</v>
      </c>
      <c r="G2" s="8" t="s">
        <v>282</v>
      </c>
      <c r="H2" s="2"/>
      <c r="I2" s="2"/>
      <c r="J2" s="2" t="str">
        <f>CONCATENATE($A$1,":",A2,";",$B$1,":",B2,";",$C$1,":",C2,";",$D$1,":",D2,";",$E$1,":",E2,";",$F$1,":",F2,";",$G$1,":",G2,";",$H$1,":",H2,";",$I$1,":",I2,)</f>
        <v>category:switch;subCategory:leaf;leafName:Leaf101;nodeBlock:101;name:101_swiProf;intProfile:101_intProf;policyGroup:leaf_swiPolGrp;nameAlias:;descr:</v>
      </c>
    </row>
    <row r="3" spans="1:10" x14ac:dyDescent="0.25">
      <c r="A3" s="8" t="s">
        <v>273</v>
      </c>
      <c r="B3" s="8" t="s">
        <v>274</v>
      </c>
      <c r="C3" s="8" t="str">
        <f t="shared" ref="C3:C43" si="0">CONCATENATE("Leaf",D3)</f>
        <v>Leaf102</v>
      </c>
      <c r="D3" s="8">
        <v>102</v>
      </c>
      <c r="E3" s="8" t="s">
        <v>280</v>
      </c>
      <c r="F3" s="8" t="str">
        <f t="shared" ref="F3:F23" si="1">CONCATENATE(SUBSTITUTE(D3,"-","_"),"_intProf")</f>
        <v>102_intProf</v>
      </c>
      <c r="G3" s="8" t="s">
        <v>282</v>
      </c>
      <c r="H3" s="2"/>
      <c r="I3" s="2"/>
      <c r="J3" s="2" t="str">
        <f t="shared" ref="J3:J43" si="2">CONCATENATE($A$1,":",A3,";",$B$1,":",B3,";",$C$1,":",C3,";",$D$1,":",D3,";",$E$1,":",E3,";",$F$1,":",F3,";",$G$1,":",G3,";",$H$1,":",H3,";",$I$1,":",I3,)</f>
        <v>category:switch;subCategory:leaf;leafName:Leaf102;nodeBlock:102;name:102_swiProf;intProfile:102_intProf;policyGroup:leaf_swiPolGrp;nameAlias:;descr:</v>
      </c>
    </row>
    <row r="4" spans="1:10" x14ac:dyDescent="0.25">
      <c r="A4" s="8" t="s">
        <v>273</v>
      </c>
      <c r="B4" s="8" t="s">
        <v>274</v>
      </c>
      <c r="C4" s="8" t="str">
        <f t="shared" si="0"/>
        <v>Leaf111</v>
      </c>
      <c r="D4" s="8">
        <v>111</v>
      </c>
      <c r="E4" s="8" t="s">
        <v>284</v>
      </c>
      <c r="F4" s="8" t="str">
        <f t="shared" si="1"/>
        <v>111_intProf</v>
      </c>
      <c r="G4" s="8" t="s">
        <v>282</v>
      </c>
      <c r="H4" s="2"/>
      <c r="I4" s="2"/>
      <c r="J4" s="2" t="str">
        <f t="shared" si="2"/>
        <v>category:switch;subCategory:leaf;leafName:Leaf111;nodeBlock:111;name:111_swiProf;intProfile:111_intProf;policyGroup:leaf_swiPolGrp;nameAlias:;descr:</v>
      </c>
    </row>
    <row r="5" spans="1:10" x14ac:dyDescent="0.25">
      <c r="A5" s="8" t="s">
        <v>273</v>
      </c>
      <c r="B5" s="8" t="s">
        <v>274</v>
      </c>
      <c r="C5" s="8" t="str">
        <f t="shared" si="0"/>
        <v>Leaf112</v>
      </c>
      <c r="D5" s="8">
        <v>112</v>
      </c>
      <c r="E5" s="8" t="s">
        <v>285</v>
      </c>
      <c r="F5" s="8" t="str">
        <f t="shared" si="1"/>
        <v>112_intProf</v>
      </c>
      <c r="G5" s="8" t="s">
        <v>282</v>
      </c>
      <c r="H5" s="2"/>
      <c r="I5" s="2"/>
      <c r="J5" s="2" t="str">
        <f t="shared" si="2"/>
        <v>category:switch;subCategory:leaf;leafName:Leaf112;nodeBlock:112;name:112_swiProf;intProfile:112_intProf;policyGroup:leaf_swiPolGrp;nameAlias:;descr:</v>
      </c>
    </row>
    <row r="6" spans="1:10" x14ac:dyDescent="0.25">
      <c r="A6" s="8" t="s">
        <v>273</v>
      </c>
      <c r="B6" s="8" t="s">
        <v>274</v>
      </c>
      <c r="C6" s="8" t="str">
        <f t="shared" si="0"/>
        <v>Leaf121</v>
      </c>
      <c r="D6" s="8">
        <v>121</v>
      </c>
      <c r="E6" s="8" t="s">
        <v>286</v>
      </c>
      <c r="F6" s="8" t="str">
        <f t="shared" si="1"/>
        <v>121_intProf</v>
      </c>
      <c r="G6" s="8" t="s">
        <v>282</v>
      </c>
      <c r="H6" s="2"/>
      <c r="I6" s="2"/>
      <c r="J6" s="2" t="str">
        <f t="shared" si="2"/>
        <v>category:switch;subCategory:leaf;leafName:Leaf121;nodeBlock:121;name:121_swiProf;intProfile:121_intProf;policyGroup:leaf_swiPolGrp;nameAlias:;descr:</v>
      </c>
    </row>
    <row r="7" spans="1:10" x14ac:dyDescent="0.25">
      <c r="A7" s="8" t="s">
        <v>273</v>
      </c>
      <c r="B7" s="8" t="s">
        <v>274</v>
      </c>
      <c r="C7" s="8" t="str">
        <f t="shared" si="0"/>
        <v>Leaf122</v>
      </c>
      <c r="D7" s="8">
        <v>122</v>
      </c>
      <c r="E7" s="8" t="s">
        <v>287</v>
      </c>
      <c r="F7" s="8" t="str">
        <f t="shared" si="1"/>
        <v>122_intProf</v>
      </c>
      <c r="G7" s="8" t="s">
        <v>282</v>
      </c>
      <c r="H7" s="2"/>
      <c r="I7" s="2"/>
      <c r="J7" s="2" t="str">
        <f t="shared" si="2"/>
        <v>category:switch;subCategory:leaf;leafName:Leaf122;nodeBlock:122;name:122_swiProf;intProfile:122_intProf;policyGroup:leaf_swiPolGrp;nameAlias:;descr:</v>
      </c>
    </row>
    <row r="8" spans="1:10" x14ac:dyDescent="0.25">
      <c r="A8" s="8" t="s">
        <v>273</v>
      </c>
      <c r="B8" s="8" t="s">
        <v>274</v>
      </c>
      <c r="C8" s="8" t="str">
        <f t="shared" si="0"/>
        <v>Leaf123</v>
      </c>
      <c r="D8" s="8">
        <v>123</v>
      </c>
      <c r="E8" s="8" t="s">
        <v>288</v>
      </c>
      <c r="F8" s="8" t="str">
        <f t="shared" si="1"/>
        <v>123_intProf</v>
      </c>
      <c r="G8" s="8" t="s">
        <v>282</v>
      </c>
      <c r="H8" s="2"/>
      <c r="I8" s="2"/>
      <c r="J8" s="2" t="str">
        <f t="shared" si="2"/>
        <v>category:switch;subCategory:leaf;leafName:Leaf123;nodeBlock:123;name:123_swiProf;intProfile:123_intProf;policyGroup:leaf_swiPolGrp;nameAlias:;descr:</v>
      </c>
    </row>
    <row r="9" spans="1:10" x14ac:dyDescent="0.25">
      <c r="A9" s="8" t="s">
        <v>273</v>
      </c>
      <c r="B9" s="8" t="s">
        <v>274</v>
      </c>
      <c r="C9" s="8" t="str">
        <f t="shared" si="0"/>
        <v>Leaf124</v>
      </c>
      <c r="D9" s="8">
        <v>124</v>
      </c>
      <c r="E9" s="8" t="s">
        <v>289</v>
      </c>
      <c r="F9" s="8" t="str">
        <f t="shared" si="1"/>
        <v>124_intProf</v>
      </c>
      <c r="G9" s="8" t="s">
        <v>282</v>
      </c>
      <c r="H9" s="2"/>
      <c r="I9" s="2"/>
      <c r="J9" s="2" t="str">
        <f t="shared" si="2"/>
        <v>category:switch;subCategory:leaf;leafName:Leaf124;nodeBlock:124;name:124_swiProf;intProfile:124_intProf;policyGroup:leaf_swiPolGrp;nameAlias:;descr:</v>
      </c>
    </row>
    <row r="10" spans="1:10" x14ac:dyDescent="0.25">
      <c r="A10" s="8" t="s">
        <v>273</v>
      </c>
      <c r="B10" s="8" t="s">
        <v>274</v>
      </c>
      <c r="C10" s="8" t="str">
        <f t="shared" si="0"/>
        <v>Leaf125</v>
      </c>
      <c r="D10" s="8">
        <v>125</v>
      </c>
      <c r="E10" s="8" t="s">
        <v>290</v>
      </c>
      <c r="F10" s="8" t="str">
        <f t="shared" si="1"/>
        <v>125_intProf</v>
      </c>
      <c r="G10" s="8" t="s">
        <v>282</v>
      </c>
      <c r="H10" s="2"/>
      <c r="I10" s="2"/>
      <c r="J10" s="2" t="str">
        <f t="shared" si="2"/>
        <v>category:switch;subCategory:leaf;leafName:Leaf125;nodeBlock:125;name:125_swiProf;intProfile:125_intProf;policyGroup:leaf_swiPolGrp;nameAlias:;descr:</v>
      </c>
    </row>
    <row r="11" spans="1:10" x14ac:dyDescent="0.25">
      <c r="A11" s="8" t="s">
        <v>273</v>
      </c>
      <c r="B11" s="8" t="s">
        <v>274</v>
      </c>
      <c r="C11" s="8" t="str">
        <f t="shared" si="0"/>
        <v>Leaf126</v>
      </c>
      <c r="D11" s="8">
        <v>126</v>
      </c>
      <c r="E11" s="8" t="s">
        <v>291</v>
      </c>
      <c r="F11" s="8" t="str">
        <f t="shared" si="1"/>
        <v>126_intProf</v>
      </c>
      <c r="G11" s="8" t="s">
        <v>282</v>
      </c>
      <c r="H11" s="2"/>
      <c r="I11" s="2"/>
      <c r="J11" s="2" t="str">
        <f t="shared" si="2"/>
        <v>category:switch;subCategory:leaf;leafName:Leaf126;nodeBlock:126;name:126_swiProf;intProfile:126_intProf;policyGroup:leaf_swiPolGrp;nameAlias:;descr:</v>
      </c>
    </row>
    <row r="12" spans="1:10" x14ac:dyDescent="0.25">
      <c r="A12" s="8" t="s">
        <v>273</v>
      </c>
      <c r="B12" s="8" t="s">
        <v>274</v>
      </c>
      <c r="C12" s="8" t="str">
        <f t="shared" si="0"/>
        <v>Leaf127</v>
      </c>
      <c r="D12" s="8">
        <v>127</v>
      </c>
      <c r="E12" s="8" t="s">
        <v>292</v>
      </c>
      <c r="F12" s="8" t="str">
        <f t="shared" si="1"/>
        <v>127_intProf</v>
      </c>
      <c r="G12" s="8" t="s">
        <v>282</v>
      </c>
      <c r="H12" s="2"/>
      <c r="I12" s="2"/>
      <c r="J12" s="2" t="str">
        <f t="shared" si="2"/>
        <v>category:switch;subCategory:leaf;leafName:Leaf127;nodeBlock:127;name:127_swiProf;intProfile:127_intProf;policyGroup:leaf_swiPolGrp;nameAlias:;descr:</v>
      </c>
    </row>
    <row r="13" spans="1:10" x14ac:dyDescent="0.25">
      <c r="A13" s="8" t="s">
        <v>273</v>
      </c>
      <c r="B13" s="8" t="s">
        <v>274</v>
      </c>
      <c r="C13" s="8" t="str">
        <f t="shared" si="0"/>
        <v>Leaf128</v>
      </c>
      <c r="D13" s="8">
        <v>128</v>
      </c>
      <c r="E13" s="8" t="s">
        <v>293</v>
      </c>
      <c r="F13" s="8" t="str">
        <f t="shared" si="1"/>
        <v>128_intProf</v>
      </c>
      <c r="G13" s="8" t="s">
        <v>282</v>
      </c>
      <c r="H13" s="2"/>
      <c r="I13" s="2"/>
      <c r="J13" s="2" t="str">
        <f t="shared" si="2"/>
        <v>category:switch;subCategory:leaf;leafName:Leaf128;nodeBlock:128;name:128_swiProf;intProfile:128_intProf;policyGroup:leaf_swiPolGrp;nameAlias:;descr:</v>
      </c>
    </row>
    <row r="14" spans="1:10" x14ac:dyDescent="0.25">
      <c r="A14" s="8" t="s">
        <v>273</v>
      </c>
      <c r="B14" s="8" t="s">
        <v>274</v>
      </c>
      <c r="C14" s="8" t="str">
        <f t="shared" si="0"/>
        <v>Leaf129</v>
      </c>
      <c r="D14" s="8">
        <v>129</v>
      </c>
      <c r="E14" s="8" t="s">
        <v>294</v>
      </c>
      <c r="F14" s="8" t="str">
        <f t="shared" si="1"/>
        <v>129_intProf</v>
      </c>
      <c r="G14" s="8" t="s">
        <v>282</v>
      </c>
      <c r="H14" s="2"/>
      <c r="I14" s="2"/>
      <c r="J14" s="2" t="str">
        <f t="shared" si="2"/>
        <v>category:switch;subCategory:leaf;leafName:Leaf129;nodeBlock:129;name:129_swiProf;intProfile:129_intProf;policyGroup:leaf_swiPolGrp;nameAlias:;descr:</v>
      </c>
    </row>
    <row r="15" spans="1:10" x14ac:dyDescent="0.25">
      <c r="A15" s="8" t="s">
        <v>273</v>
      </c>
      <c r="B15" s="8" t="s">
        <v>274</v>
      </c>
      <c r="C15" s="8" t="str">
        <f t="shared" si="0"/>
        <v>Leaf130</v>
      </c>
      <c r="D15" s="8">
        <v>130</v>
      </c>
      <c r="E15" s="8" t="s">
        <v>295</v>
      </c>
      <c r="F15" s="8" t="str">
        <f t="shared" si="1"/>
        <v>130_intProf</v>
      </c>
      <c r="G15" s="8" t="s">
        <v>282</v>
      </c>
      <c r="H15" s="2"/>
      <c r="I15" s="2"/>
      <c r="J15" s="2" t="str">
        <f t="shared" si="2"/>
        <v>category:switch;subCategory:leaf;leafName:Leaf130;nodeBlock:130;name:130_swiProf;intProfile:130_intProf;policyGroup:leaf_swiPolGrp;nameAlias:;descr:</v>
      </c>
    </row>
    <row r="16" spans="1:10" x14ac:dyDescent="0.25">
      <c r="A16" s="8" t="s">
        <v>273</v>
      </c>
      <c r="B16" s="8" t="s">
        <v>274</v>
      </c>
      <c r="C16" s="8" t="str">
        <f t="shared" si="0"/>
        <v>Leaf131</v>
      </c>
      <c r="D16" s="8">
        <v>131</v>
      </c>
      <c r="E16" s="8" t="s">
        <v>296</v>
      </c>
      <c r="F16" s="8" t="str">
        <f t="shared" si="1"/>
        <v>131_intProf</v>
      </c>
      <c r="G16" s="8" t="s">
        <v>282</v>
      </c>
      <c r="H16" s="2"/>
      <c r="I16" s="2"/>
      <c r="J16" s="2" t="str">
        <f t="shared" si="2"/>
        <v>category:switch;subCategory:leaf;leafName:Leaf131;nodeBlock:131;name:131_swiProf;intProfile:131_intProf;policyGroup:leaf_swiPolGrp;nameAlias:;descr:</v>
      </c>
    </row>
    <row r="17" spans="1:10" x14ac:dyDescent="0.25">
      <c r="A17" s="8" t="s">
        <v>273</v>
      </c>
      <c r="B17" s="8" t="s">
        <v>274</v>
      </c>
      <c r="C17" s="8" t="str">
        <f t="shared" si="0"/>
        <v>Leaf132</v>
      </c>
      <c r="D17" s="8">
        <v>132</v>
      </c>
      <c r="E17" s="8" t="s">
        <v>297</v>
      </c>
      <c r="F17" s="8" t="str">
        <f t="shared" si="1"/>
        <v>132_intProf</v>
      </c>
      <c r="G17" s="8" t="s">
        <v>282</v>
      </c>
      <c r="H17" s="2"/>
      <c r="I17" s="2"/>
      <c r="J17" s="2" t="str">
        <f t="shared" si="2"/>
        <v>category:switch;subCategory:leaf;leafName:Leaf132;nodeBlock:132;name:132_swiProf;intProfile:132_intProf;policyGroup:leaf_swiPolGrp;nameAlias:;descr:</v>
      </c>
    </row>
    <row r="18" spans="1:10" x14ac:dyDescent="0.25">
      <c r="A18" s="8" t="s">
        <v>273</v>
      </c>
      <c r="B18" s="8" t="s">
        <v>274</v>
      </c>
      <c r="C18" s="8" t="str">
        <f t="shared" si="0"/>
        <v>Leaf133</v>
      </c>
      <c r="D18" s="8">
        <v>133</v>
      </c>
      <c r="E18" s="8" t="s">
        <v>298</v>
      </c>
      <c r="F18" s="8" t="str">
        <f>CONCATENATE(SUBSTITUTE(D18,"-","_"),"_intProf")</f>
        <v>133_intProf</v>
      </c>
      <c r="G18" s="8" t="s">
        <v>282</v>
      </c>
      <c r="H18" s="2"/>
      <c r="I18" s="2"/>
      <c r="J18" s="2" t="str">
        <f t="shared" si="2"/>
        <v>category:switch;subCategory:leaf;leafName:Leaf133;nodeBlock:133;name:133_swiProf;intProfile:133_intProf;policyGroup:leaf_swiPolGrp;nameAlias:;descr:</v>
      </c>
    </row>
    <row r="19" spans="1:10" x14ac:dyDescent="0.25">
      <c r="A19" s="8" t="s">
        <v>273</v>
      </c>
      <c r="B19" s="8" t="s">
        <v>274</v>
      </c>
      <c r="C19" s="8" t="str">
        <f t="shared" si="0"/>
        <v>Leaf134</v>
      </c>
      <c r="D19" s="8">
        <v>134</v>
      </c>
      <c r="E19" s="8" t="s">
        <v>299</v>
      </c>
      <c r="F19" s="8" t="str">
        <f t="shared" si="1"/>
        <v>134_intProf</v>
      </c>
      <c r="G19" s="8" t="s">
        <v>282</v>
      </c>
      <c r="H19" s="2"/>
      <c r="I19" s="2"/>
      <c r="J19" s="2" t="str">
        <f t="shared" si="2"/>
        <v>category:switch;subCategory:leaf;leafName:Leaf134;nodeBlock:134;name:134_swiProf;intProfile:134_intProf;policyGroup:leaf_swiPolGrp;nameAlias:;descr:</v>
      </c>
    </row>
    <row r="20" spans="1:10" x14ac:dyDescent="0.25">
      <c r="A20" s="8" t="s">
        <v>273</v>
      </c>
      <c r="B20" s="8" t="s">
        <v>274</v>
      </c>
      <c r="C20" s="8" t="str">
        <f t="shared" si="0"/>
        <v>Leaf135</v>
      </c>
      <c r="D20" s="8">
        <v>135</v>
      </c>
      <c r="E20" s="8" t="s">
        <v>300</v>
      </c>
      <c r="F20" s="8" t="str">
        <f t="shared" si="1"/>
        <v>135_intProf</v>
      </c>
      <c r="G20" s="8" t="s">
        <v>282</v>
      </c>
      <c r="H20" s="2"/>
      <c r="I20" s="2"/>
      <c r="J20" s="2" t="str">
        <f t="shared" si="2"/>
        <v>category:switch;subCategory:leaf;leafName:Leaf135;nodeBlock:135;name:135_swiProf;intProfile:135_intProf;policyGroup:leaf_swiPolGrp;nameAlias:;descr:</v>
      </c>
    </row>
    <row r="21" spans="1:10" x14ac:dyDescent="0.25">
      <c r="A21" s="8" t="s">
        <v>273</v>
      </c>
      <c r="B21" s="8" t="s">
        <v>274</v>
      </c>
      <c r="C21" s="8" t="str">
        <f t="shared" si="0"/>
        <v>Leaf136</v>
      </c>
      <c r="D21" s="8">
        <v>136</v>
      </c>
      <c r="E21" s="8" t="s">
        <v>301</v>
      </c>
      <c r="F21" s="8" t="str">
        <f t="shared" si="1"/>
        <v>136_intProf</v>
      </c>
      <c r="G21" s="8" t="s">
        <v>282</v>
      </c>
      <c r="H21" s="2"/>
      <c r="I21" s="2"/>
      <c r="J21" s="2" t="str">
        <f t="shared" si="2"/>
        <v>category:switch;subCategory:leaf;leafName:Leaf136;nodeBlock:136;name:136_swiProf;intProfile:136_intProf;policyGroup:leaf_swiPolGrp;nameAlias:;descr:</v>
      </c>
    </row>
    <row r="22" spans="1:10" x14ac:dyDescent="0.25">
      <c r="A22" s="8" t="s">
        <v>273</v>
      </c>
      <c r="B22" s="8" t="s">
        <v>274</v>
      </c>
      <c r="C22" s="8" t="str">
        <f t="shared" si="0"/>
        <v>Leaf137</v>
      </c>
      <c r="D22" s="8">
        <v>137</v>
      </c>
      <c r="E22" s="8" t="s">
        <v>302</v>
      </c>
      <c r="F22" s="8" t="str">
        <f t="shared" si="1"/>
        <v>137_intProf</v>
      </c>
      <c r="G22" s="8" t="s">
        <v>282</v>
      </c>
      <c r="H22" s="2"/>
      <c r="I22" s="2"/>
      <c r="J22" s="2" t="str">
        <f t="shared" si="2"/>
        <v>category:switch;subCategory:leaf;leafName:Leaf137;nodeBlock:137;name:137_swiProf;intProfile:137_intProf;policyGroup:leaf_swiPolGrp;nameAlias:;descr:</v>
      </c>
    </row>
    <row r="23" spans="1:10" x14ac:dyDescent="0.25">
      <c r="A23" s="8" t="s">
        <v>273</v>
      </c>
      <c r="B23" s="8" t="s">
        <v>274</v>
      </c>
      <c r="C23" s="8" t="str">
        <f t="shared" si="0"/>
        <v>Leaf138</v>
      </c>
      <c r="D23" s="8">
        <v>138</v>
      </c>
      <c r="E23" s="8" t="s">
        <v>303</v>
      </c>
      <c r="F23" s="8" t="str">
        <f t="shared" si="1"/>
        <v>138_intProf</v>
      </c>
      <c r="G23" s="8" t="s">
        <v>282</v>
      </c>
      <c r="H23" s="2"/>
      <c r="I23" s="2"/>
      <c r="J23" s="2" t="str">
        <f t="shared" si="2"/>
        <v>category:switch;subCategory:leaf;leafName:Leaf138;nodeBlock:138;name:138_swiProf;intProfile:138_intProf;policyGroup:leaf_swiPolGrp;nameAlias:;descr:</v>
      </c>
    </row>
    <row r="24" spans="1:10" x14ac:dyDescent="0.25">
      <c r="A24" s="8" t="s">
        <v>273</v>
      </c>
      <c r="B24" s="8" t="s">
        <v>274</v>
      </c>
      <c r="C24" s="8" t="str">
        <f t="shared" si="0"/>
        <v>Leaf101-102</v>
      </c>
      <c r="D24" s="8" t="s">
        <v>324</v>
      </c>
      <c r="E24" s="8" t="s">
        <v>304</v>
      </c>
      <c r="F24" s="8" t="str">
        <f>CONCATENATE(SUBSTITUTE(D24,"-","_"),"_intProf")</f>
        <v>101_102_intProf</v>
      </c>
      <c r="G24" s="8" t="s">
        <v>282</v>
      </c>
      <c r="H24" s="2"/>
      <c r="I24" s="2"/>
      <c r="J24" s="2" t="str">
        <f t="shared" si="2"/>
        <v>category:switch;subCategory:leaf;leafName:Leaf101-102;nodeBlock:101-102;name:101_102_swiProf;intProfile:101_102_intProf;policyGroup:leaf_swiPolGrp;nameAlias:;descr:</v>
      </c>
    </row>
    <row r="25" spans="1:10" x14ac:dyDescent="0.25">
      <c r="A25" s="8" t="s">
        <v>273</v>
      </c>
      <c r="B25" s="8" t="s">
        <v>274</v>
      </c>
      <c r="C25" s="8" t="str">
        <f t="shared" si="0"/>
        <v>Leaf111-112</v>
      </c>
      <c r="D25" s="8" t="s">
        <v>325</v>
      </c>
      <c r="E25" s="8" t="s">
        <v>305</v>
      </c>
      <c r="F25" s="8" t="str">
        <f t="shared" ref="F25:F43" si="3">CONCATENATE(SUBSTITUTE(D25,"-","_"),"_intProf")</f>
        <v>111_112_intProf</v>
      </c>
      <c r="G25" s="8" t="s">
        <v>282</v>
      </c>
      <c r="H25" s="2"/>
      <c r="I25" s="2"/>
      <c r="J25" s="2" t="str">
        <f t="shared" si="2"/>
        <v>category:switch;subCategory:leaf;leafName:Leaf111-112;nodeBlock:111-112;name:111_112_swiProf;intProfile:111_112_intProf;policyGroup:leaf_swiPolGrp;nameAlias:;descr:</v>
      </c>
    </row>
    <row r="26" spans="1:10" x14ac:dyDescent="0.25">
      <c r="A26" s="8" t="s">
        <v>273</v>
      </c>
      <c r="B26" s="8" t="s">
        <v>274</v>
      </c>
      <c r="C26" s="8" t="str">
        <f t="shared" si="0"/>
        <v>Leaf121-122</v>
      </c>
      <c r="D26" s="8" t="s">
        <v>326</v>
      </c>
      <c r="E26" s="8" t="s">
        <v>306</v>
      </c>
      <c r="F26" s="8" t="str">
        <f t="shared" si="3"/>
        <v>121_122_intProf</v>
      </c>
      <c r="G26" s="8" t="s">
        <v>282</v>
      </c>
      <c r="H26" s="2"/>
      <c r="I26" s="2"/>
      <c r="J26" s="2" t="str">
        <f t="shared" si="2"/>
        <v>category:switch;subCategory:leaf;leafName:Leaf121-122;nodeBlock:121-122;name:121_122_swiProf;intProfile:121_122_intProf;policyGroup:leaf_swiPolGrp;nameAlias:;descr:</v>
      </c>
    </row>
    <row r="27" spans="1:10" x14ac:dyDescent="0.25">
      <c r="A27" s="8" t="s">
        <v>273</v>
      </c>
      <c r="B27" s="8" t="s">
        <v>274</v>
      </c>
      <c r="C27" s="8" t="str">
        <f t="shared" si="0"/>
        <v>Leaf123-124</v>
      </c>
      <c r="D27" s="8" t="s">
        <v>327</v>
      </c>
      <c r="E27" s="8" t="s">
        <v>307</v>
      </c>
      <c r="F27" s="8" t="str">
        <f t="shared" si="3"/>
        <v>123_124_intProf</v>
      </c>
      <c r="G27" s="8" t="s">
        <v>282</v>
      </c>
      <c r="H27" s="2"/>
      <c r="I27" s="2"/>
      <c r="J27" s="2" t="str">
        <f t="shared" si="2"/>
        <v>category:switch;subCategory:leaf;leafName:Leaf123-124;nodeBlock:123-124;name:123_124_swiProf;intProfile:123_124_intProf;policyGroup:leaf_swiPolGrp;nameAlias:;descr:</v>
      </c>
    </row>
    <row r="28" spans="1:10" x14ac:dyDescent="0.25">
      <c r="A28" s="8" t="s">
        <v>273</v>
      </c>
      <c r="B28" s="8" t="s">
        <v>274</v>
      </c>
      <c r="C28" s="8" t="str">
        <f t="shared" si="0"/>
        <v>Leaf125-126</v>
      </c>
      <c r="D28" s="8" t="s">
        <v>328</v>
      </c>
      <c r="E28" s="8" t="s">
        <v>308</v>
      </c>
      <c r="F28" s="8" t="str">
        <f t="shared" si="3"/>
        <v>125_126_intProf</v>
      </c>
      <c r="G28" s="8" t="s">
        <v>282</v>
      </c>
      <c r="H28" s="2"/>
      <c r="I28" s="2"/>
      <c r="J28" s="2" t="str">
        <f t="shared" si="2"/>
        <v>category:switch;subCategory:leaf;leafName:Leaf125-126;nodeBlock:125-126;name:125_126_swiProf;intProfile:125_126_intProf;policyGroup:leaf_swiPolGrp;nameAlias:;descr:</v>
      </c>
    </row>
    <row r="29" spans="1:10" x14ac:dyDescent="0.25">
      <c r="A29" s="8" t="s">
        <v>273</v>
      </c>
      <c r="B29" s="8" t="s">
        <v>274</v>
      </c>
      <c r="C29" s="8" t="str">
        <f t="shared" si="0"/>
        <v>Leaf127-128</v>
      </c>
      <c r="D29" s="8" t="s">
        <v>329</v>
      </c>
      <c r="E29" s="8" t="s">
        <v>309</v>
      </c>
      <c r="F29" s="8" t="str">
        <f t="shared" si="3"/>
        <v>127_128_intProf</v>
      </c>
      <c r="G29" s="8" t="s">
        <v>282</v>
      </c>
      <c r="H29" s="2"/>
      <c r="I29" s="2"/>
      <c r="J29" s="2" t="str">
        <f t="shared" si="2"/>
        <v>category:switch;subCategory:leaf;leafName:Leaf127-128;nodeBlock:127-128;name:127_128_swiProf;intProfile:127_128_intProf;policyGroup:leaf_swiPolGrp;nameAlias:;descr:</v>
      </c>
    </row>
    <row r="30" spans="1:10" x14ac:dyDescent="0.25">
      <c r="A30" s="8" t="s">
        <v>273</v>
      </c>
      <c r="B30" s="8" t="s">
        <v>274</v>
      </c>
      <c r="C30" s="8" t="str">
        <f t="shared" si="0"/>
        <v>Leaf129-130</v>
      </c>
      <c r="D30" s="8" t="s">
        <v>330</v>
      </c>
      <c r="E30" s="8" t="s">
        <v>310</v>
      </c>
      <c r="F30" s="8" t="str">
        <f t="shared" si="3"/>
        <v>129_130_intProf</v>
      </c>
      <c r="G30" s="8" t="s">
        <v>282</v>
      </c>
      <c r="H30" s="2"/>
      <c r="I30" s="2"/>
      <c r="J30" s="2" t="str">
        <f t="shared" si="2"/>
        <v>category:switch;subCategory:leaf;leafName:Leaf129-130;nodeBlock:129-130;name:129_130_swiProf;intProfile:129_130_intProf;policyGroup:leaf_swiPolGrp;nameAlias:;descr:</v>
      </c>
    </row>
    <row r="31" spans="1:10" x14ac:dyDescent="0.25">
      <c r="A31" s="8" t="s">
        <v>273</v>
      </c>
      <c r="B31" s="8" t="s">
        <v>274</v>
      </c>
      <c r="C31" s="8" t="str">
        <f t="shared" si="0"/>
        <v>Leaf131-132</v>
      </c>
      <c r="D31" s="8" t="s">
        <v>331</v>
      </c>
      <c r="E31" s="8" t="s">
        <v>311</v>
      </c>
      <c r="F31" s="8" t="str">
        <f t="shared" si="3"/>
        <v>131_132_intProf</v>
      </c>
      <c r="G31" s="8" t="s">
        <v>282</v>
      </c>
      <c r="H31" s="2"/>
      <c r="I31" s="2"/>
      <c r="J31" s="2" t="str">
        <f t="shared" si="2"/>
        <v>category:switch;subCategory:leaf;leafName:Leaf131-132;nodeBlock:131-132;name:131_132_swiProf;intProfile:131_132_intProf;policyGroup:leaf_swiPolGrp;nameAlias:;descr:</v>
      </c>
    </row>
    <row r="32" spans="1:10" x14ac:dyDescent="0.25">
      <c r="A32" s="8" t="s">
        <v>273</v>
      </c>
      <c r="B32" s="8" t="s">
        <v>274</v>
      </c>
      <c r="C32" s="8" t="str">
        <f t="shared" si="0"/>
        <v>Leaf133-134</v>
      </c>
      <c r="D32" s="8" t="s">
        <v>332</v>
      </c>
      <c r="E32" s="8" t="s">
        <v>312</v>
      </c>
      <c r="F32" s="8" t="str">
        <f t="shared" si="3"/>
        <v>133_134_intProf</v>
      </c>
      <c r="G32" s="8" t="s">
        <v>282</v>
      </c>
      <c r="H32" s="2"/>
      <c r="I32" s="2"/>
      <c r="J32" s="2" t="str">
        <f t="shared" si="2"/>
        <v>category:switch;subCategory:leaf;leafName:Leaf133-134;nodeBlock:133-134;name:133_134_swiProf;intProfile:133_134_intProf;policyGroup:leaf_swiPolGrp;nameAlias:;descr:</v>
      </c>
    </row>
    <row r="33" spans="1:10" x14ac:dyDescent="0.25">
      <c r="A33" s="8" t="s">
        <v>273</v>
      </c>
      <c r="B33" s="8" t="s">
        <v>274</v>
      </c>
      <c r="C33" s="8" t="str">
        <f t="shared" si="0"/>
        <v>Leaf135-136</v>
      </c>
      <c r="D33" s="8" t="s">
        <v>333</v>
      </c>
      <c r="E33" s="8" t="s">
        <v>313</v>
      </c>
      <c r="F33" s="8" t="str">
        <f t="shared" si="3"/>
        <v>135_136_intProf</v>
      </c>
      <c r="G33" s="8" t="s">
        <v>282</v>
      </c>
      <c r="H33" s="2"/>
      <c r="I33" s="2"/>
      <c r="J33" s="2" t="str">
        <f t="shared" si="2"/>
        <v>category:switch;subCategory:leaf;leafName:Leaf135-136;nodeBlock:135-136;name:135_136_swiProf;intProfile:135_136_intProf;policyGroup:leaf_swiPolGrp;nameAlias:;descr:</v>
      </c>
    </row>
    <row r="34" spans="1:10" x14ac:dyDescent="0.25">
      <c r="A34" s="8" t="s">
        <v>273</v>
      </c>
      <c r="B34" s="8" t="s">
        <v>274</v>
      </c>
      <c r="C34" s="8" t="str">
        <f t="shared" si="0"/>
        <v>Leaf137-138</v>
      </c>
      <c r="D34" s="8" t="s">
        <v>334</v>
      </c>
      <c r="E34" s="8" t="s">
        <v>314</v>
      </c>
      <c r="F34" s="8" t="str">
        <f t="shared" si="3"/>
        <v>137_138_intProf</v>
      </c>
      <c r="G34" s="8" t="s">
        <v>282</v>
      </c>
      <c r="H34" s="2"/>
      <c r="I34" s="2"/>
      <c r="J34" s="2" t="str">
        <f t="shared" si="2"/>
        <v>category:switch;subCategory:leaf;leafName:Leaf137-138;nodeBlock:137-138;name:137_138_swiProf;intProfile:137_138_intProf;policyGroup:leaf_swiPolGrp;nameAlias:;descr:</v>
      </c>
    </row>
    <row r="35" spans="1:10" x14ac:dyDescent="0.25">
      <c r="A35" s="8" t="s">
        <v>273</v>
      </c>
      <c r="B35" s="8" t="s">
        <v>274</v>
      </c>
      <c r="C35" s="8" t="str">
        <f t="shared" si="0"/>
        <v>Leaf201</v>
      </c>
      <c r="D35" s="8">
        <v>201</v>
      </c>
      <c r="E35" s="8" t="s">
        <v>315</v>
      </c>
      <c r="F35" s="8" t="str">
        <f t="shared" si="3"/>
        <v>201_intProf</v>
      </c>
      <c r="G35" s="8" t="s">
        <v>282</v>
      </c>
      <c r="H35" s="2"/>
      <c r="I35" s="2"/>
      <c r="J35" s="2" t="str">
        <f t="shared" si="2"/>
        <v>category:switch;subCategory:leaf;leafName:Leaf201;nodeBlock:201;name:201_swiProf;intProfile:201_intProf;policyGroup:leaf_swiPolGrp;nameAlias:;descr:</v>
      </c>
    </row>
    <row r="36" spans="1:10" x14ac:dyDescent="0.25">
      <c r="A36" s="8" t="s">
        <v>273</v>
      </c>
      <c r="B36" s="8" t="s">
        <v>274</v>
      </c>
      <c r="C36" s="8" t="str">
        <f t="shared" si="0"/>
        <v>Leaf202</v>
      </c>
      <c r="D36" s="8">
        <v>202</v>
      </c>
      <c r="E36" s="8" t="s">
        <v>316</v>
      </c>
      <c r="F36" s="8" t="str">
        <f t="shared" si="3"/>
        <v>202_intProf</v>
      </c>
      <c r="G36" s="8" t="s">
        <v>282</v>
      </c>
      <c r="H36" s="2"/>
      <c r="I36" s="2"/>
      <c r="J36" s="2" t="str">
        <f t="shared" si="2"/>
        <v>category:switch;subCategory:leaf;leafName:Leaf202;nodeBlock:202;name:202_swiProf;intProfile:202_intProf;policyGroup:leaf_swiPolGrp;nameAlias:;descr:</v>
      </c>
    </row>
    <row r="37" spans="1:10" x14ac:dyDescent="0.25">
      <c r="A37" s="8" t="s">
        <v>273</v>
      </c>
      <c r="B37" s="8" t="s">
        <v>274</v>
      </c>
      <c r="C37" s="8" t="str">
        <f t="shared" si="0"/>
        <v>Leaf211</v>
      </c>
      <c r="D37" s="8">
        <v>211</v>
      </c>
      <c r="E37" s="8" t="s">
        <v>317</v>
      </c>
      <c r="F37" s="8" t="str">
        <f t="shared" si="3"/>
        <v>211_intProf</v>
      </c>
      <c r="G37" s="8" t="s">
        <v>282</v>
      </c>
      <c r="H37" s="2"/>
      <c r="I37" s="2"/>
      <c r="J37" s="2" t="str">
        <f t="shared" si="2"/>
        <v>category:switch;subCategory:leaf;leafName:Leaf211;nodeBlock:211;name:211_swiProf;intProfile:211_intProf;policyGroup:leaf_swiPolGrp;nameAlias:;descr:</v>
      </c>
    </row>
    <row r="38" spans="1:10" x14ac:dyDescent="0.25">
      <c r="A38" s="8" t="s">
        <v>273</v>
      </c>
      <c r="B38" s="8" t="s">
        <v>274</v>
      </c>
      <c r="C38" s="8" t="str">
        <f t="shared" si="0"/>
        <v>Leaf212</v>
      </c>
      <c r="D38" s="8">
        <v>212</v>
      </c>
      <c r="E38" s="8" t="s">
        <v>318</v>
      </c>
      <c r="F38" s="8" t="str">
        <f t="shared" si="3"/>
        <v>212_intProf</v>
      </c>
      <c r="G38" s="8" t="s">
        <v>282</v>
      </c>
      <c r="H38" s="2"/>
      <c r="I38" s="2"/>
      <c r="J38" s="2" t="str">
        <f t="shared" si="2"/>
        <v>category:switch;subCategory:leaf;leafName:Leaf212;nodeBlock:212;name:212_swiProf;intProfile:212_intProf;policyGroup:leaf_swiPolGrp;nameAlias:;descr:</v>
      </c>
    </row>
    <row r="39" spans="1:10" x14ac:dyDescent="0.25">
      <c r="A39" s="8" t="s">
        <v>273</v>
      </c>
      <c r="B39" s="8" t="s">
        <v>274</v>
      </c>
      <c r="C39" s="8" t="str">
        <f t="shared" si="0"/>
        <v>Leaf221</v>
      </c>
      <c r="D39" s="8">
        <v>221</v>
      </c>
      <c r="E39" s="8" t="s">
        <v>319</v>
      </c>
      <c r="F39" s="8" t="str">
        <f t="shared" si="3"/>
        <v>221_intProf</v>
      </c>
      <c r="G39" s="8" t="s">
        <v>282</v>
      </c>
      <c r="H39" s="2"/>
      <c r="I39" s="2"/>
      <c r="J39" s="2" t="str">
        <f t="shared" si="2"/>
        <v>category:switch;subCategory:leaf;leafName:Leaf221;nodeBlock:221;name:221_swiProf;intProfile:221_intProf;policyGroup:leaf_swiPolGrp;nameAlias:;descr:</v>
      </c>
    </row>
    <row r="40" spans="1:10" x14ac:dyDescent="0.25">
      <c r="A40" s="8" t="s">
        <v>273</v>
      </c>
      <c r="B40" s="8" t="s">
        <v>274</v>
      </c>
      <c r="C40" s="8" t="str">
        <f t="shared" si="0"/>
        <v>Leaf222</v>
      </c>
      <c r="D40" s="8">
        <v>222</v>
      </c>
      <c r="E40" s="8" t="s">
        <v>320</v>
      </c>
      <c r="F40" s="8" t="str">
        <f t="shared" si="3"/>
        <v>222_intProf</v>
      </c>
      <c r="G40" s="8" t="s">
        <v>282</v>
      </c>
      <c r="H40" s="2"/>
      <c r="I40" s="2"/>
      <c r="J40" s="2" t="str">
        <f t="shared" si="2"/>
        <v>category:switch;subCategory:leaf;leafName:Leaf222;nodeBlock:222;name:222_swiProf;intProfile:222_intProf;policyGroup:leaf_swiPolGrp;nameAlias:;descr:</v>
      </c>
    </row>
    <row r="41" spans="1:10" x14ac:dyDescent="0.25">
      <c r="A41" s="8" t="s">
        <v>273</v>
      </c>
      <c r="B41" s="8" t="s">
        <v>274</v>
      </c>
      <c r="C41" s="8" t="str">
        <f t="shared" si="0"/>
        <v>Leaf201-202</v>
      </c>
      <c r="D41" s="8" t="s">
        <v>335</v>
      </c>
      <c r="E41" s="8" t="s">
        <v>321</v>
      </c>
      <c r="F41" s="8" t="str">
        <f t="shared" si="3"/>
        <v>201_202_intProf</v>
      </c>
      <c r="G41" s="8" t="s">
        <v>282</v>
      </c>
      <c r="H41" s="2"/>
      <c r="I41" s="2"/>
      <c r="J41" s="2" t="str">
        <f t="shared" si="2"/>
        <v>category:switch;subCategory:leaf;leafName:Leaf201-202;nodeBlock:201-202;name:201_202_swiProf;intProfile:201_202_intProf;policyGroup:leaf_swiPolGrp;nameAlias:;descr:</v>
      </c>
    </row>
    <row r="42" spans="1:10" x14ac:dyDescent="0.25">
      <c r="A42" s="8" t="s">
        <v>273</v>
      </c>
      <c r="B42" s="8" t="s">
        <v>274</v>
      </c>
      <c r="C42" s="8" t="str">
        <f t="shared" si="0"/>
        <v>Leaf211-212</v>
      </c>
      <c r="D42" s="8" t="s">
        <v>336</v>
      </c>
      <c r="E42" s="8" t="s">
        <v>322</v>
      </c>
      <c r="F42" s="8" t="str">
        <f t="shared" si="3"/>
        <v>211_212_intProf</v>
      </c>
      <c r="G42" s="8" t="s">
        <v>282</v>
      </c>
      <c r="H42" s="2"/>
      <c r="I42" s="2"/>
      <c r="J42" s="2" t="str">
        <f t="shared" si="2"/>
        <v>category:switch;subCategory:leaf;leafName:Leaf211-212;nodeBlock:211-212;name:211_212_swiProf;intProfile:211_212_intProf;policyGroup:leaf_swiPolGrp;nameAlias:;descr:</v>
      </c>
    </row>
    <row r="43" spans="1:10" x14ac:dyDescent="0.25">
      <c r="A43" s="8" t="s">
        <v>273</v>
      </c>
      <c r="B43" s="8" t="s">
        <v>274</v>
      </c>
      <c r="C43" s="8" t="str">
        <f t="shared" si="0"/>
        <v>Leaf221-222</v>
      </c>
      <c r="D43" s="8" t="s">
        <v>337</v>
      </c>
      <c r="E43" s="8" t="s">
        <v>323</v>
      </c>
      <c r="F43" s="8" t="str">
        <f t="shared" si="3"/>
        <v>221_222_intProf</v>
      </c>
      <c r="G43" s="8" t="s">
        <v>282</v>
      </c>
      <c r="H43" s="2"/>
      <c r="I43" s="2"/>
      <c r="J43" s="2" t="str">
        <f t="shared" si="2"/>
        <v>category:switch;subCategory:leaf;leafName:Leaf221-222;nodeBlock:221-222;name:221_222_swiProf;intProfile:221_222_intProf;policyGroup:leaf_swiPolGrp;nameAlias:;descr:</v>
      </c>
    </row>
  </sheetData>
  <autoFilter ref="A1:J43" xr:uid="{BF9AA935-75B4-4C9A-BA61-A03F722C49FF}"/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51171-8BFC-4298-ADFF-E9E8731DE895}">
  <sheetPr>
    <tabColor theme="8" tint="0.59999389629810485"/>
  </sheetPr>
  <dimension ref="A1:J34"/>
  <sheetViews>
    <sheetView zoomScale="85" zoomScaleNormal="85" workbookViewId="0">
      <selection activeCell="I12" sqref="I12"/>
    </sheetView>
  </sheetViews>
  <sheetFormatPr defaultRowHeight="15" x14ac:dyDescent="0.25"/>
  <cols>
    <col min="1" max="1" width="10.85546875" bestFit="1" customWidth="1"/>
    <col min="2" max="2" width="14.28515625" bestFit="1" customWidth="1"/>
    <col min="3" max="3" width="13.42578125" bestFit="1" customWidth="1"/>
    <col min="4" max="4" width="12.5703125" bestFit="1" customWidth="1"/>
    <col min="5" max="5" width="19" customWidth="1"/>
    <col min="6" max="6" width="15.85546875" customWidth="1"/>
    <col min="7" max="7" width="20.5703125" customWidth="1"/>
    <col min="8" max="8" width="12.5703125" bestFit="1" customWidth="1"/>
    <col min="9" max="9" width="8" bestFit="1" customWidth="1"/>
    <col min="10" max="10" width="40.7109375" customWidth="1"/>
  </cols>
  <sheetData>
    <row r="1" spans="1:10" x14ac:dyDescent="0.25">
      <c r="A1" s="9" t="s">
        <v>101</v>
      </c>
      <c r="B1" s="9" t="s">
        <v>91</v>
      </c>
      <c r="C1" s="9" t="s">
        <v>339</v>
      </c>
      <c r="D1" s="9" t="s">
        <v>276</v>
      </c>
      <c r="E1" s="9" t="s">
        <v>0</v>
      </c>
      <c r="F1" s="9" t="s">
        <v>277</v>
      </c>
      <c r="G1" s="9" t="s">
        <v>278</v>
      </c>
      <c r="H1" s="9" t="s">
        <v>3</v>
      </c>
      <c r="I1" s="9" t="s">
        <v>4</v>
      </c>
      <c r="J1" s="3" t="s">
        <v>100</v>
      </c>
    </row>
    <row r="2" spans="1:10" x14ac:dyDescent="0.25">
      <c r="A2" s="8" t="s">
        <v>273</v>
      </c>
      <c r="B2" s="8" t="s">
        <v>348</v>
      </c>
      <c r="C2" s="8" t="str">
        <f>CONCATENATE("Spine",D2)</f>
        <v>Spine301</v>
      </c>
      <c r="D2" s="8">
        <v>301</v>
      </c>
      <c r="E2" s="8" t="str">
        <f>CONCATENATE(D2,"_swiProf")</f>
        <v>301_swiProf</v>
      </c>
      <c r="F2" s="8" t="str">
        <f>CONCATENATE(D2,"_intProf")</f>
        <v>301_intProf</v>
      </c>
      <c r="G2" s="8" t="s">
        <v>340</v>
      </c>
      <c r="H2" s="8"/>
      <c r="I2" s="8"/>
      <c r="J2" s="8" t="str">
        <f>CONCATENATE($A$1,":",A2,";",$B$1,":",B2,";",$C$1,":",C2,";",$D$1,":",D2,";",$E$1,":",E2,";",$F$1,":",F2,";",$G$1,":",G2,";",$H$1,":",H2,";",$I$1,":",I2,)</f>
        <v>category:switch;subCategory:spine;spineName:Spine301;nodeBlock:301;name:301_swiProf;intProfile:301_intProf;policyGroup:spine_swiPolGrp;nameAlias:;descr:</v>
      </c>
    </row>
    <row r="3" spans="1:10" x14ac:dyDescent="0.25">
      <c r="A3" s="8" t="s">
        <v>273</v>
      </c>
      <c r="B3" s="8" t="s">
        <v>348</v>
      </c>
      <c r="C3" s="8" t="str">
        <f>CONCATENATE("Spine",D3)</f>
        <v>Spine302</v>
      </c>
      <c r="D3" s="8">
        <v>302</v>
      </c>
      <c r="E3" s="8" t="str">
        <f>CONCATENATE(D3,"_swiProf")</f>
        <v>302_swiProf</v>
      </c>
      <c r="F3" s="8" t="str">
        <f>CONCATENATE(D3,"_intProf")</f>
        <v>302_intProf</v>
      </c>
      <c r="G3" s="8" t="s">
        <v>340</v>
      </c>
      <c r="H3" s="8"/>
      <c r="I3" s="8"/>
      <c r="J3" s="8" t="str">
        <f>CONCATENATE($A$1,":",A3,";",$B$1,":",B3,";",$C$1,":",C3,";",$D$1,":",D3,";",$E$1,":",E3,";",$F$1,":",F3,";",$G$1,":",G3,";",$H$1,":",H3,";",$I$1,":",I3,)</f>
        <v>category:switch;subCategory:spine;spineName:Spine302;nodeBlock:302;name:302_swiProf;intProfile:302_intProf;policyGroup:spine_swiPolGrp;nameAlias:;descr:</v>
      </c>
    </row>
    <row r="4" spans="1:10" x14ac:dyDescent="0.25">
      <c r="A4" s="8" t="s">
        <v>273</v>
      </c>
      <c r="B4" s="8" t="s">
        <v>348</v>
      </c>
      <c r="C4" s="8" t="str">
        <f t="shared" ref="C4:C5" si="0">CONCATENATE("Spine",D4)</f>
        <v>Spine311</v>
      </c>
      <c r="D4" s="8">
        <v>311</v>
      </c>
      <c r="E4" s="8" t="str">
        <f t="shared" ref="E4:E5" si="1">CONCATENATE(D4,"_swiProf")</f>
        <v>311_swiProf</v>
      </c>
      <c r="F4" s="8" t="str">
        <f t="shared" ref="F4:F5" si="2">CONCATENATE(D4,"_intProf")</f>
        <v>311_intProf</v>
      </c>
      <c r="G4" s="8" t="s">
        <v>340</v>
      </c>
      <c r="H4" s="8"/>
      <c r="I4" s="8"/>
      <c r="J4" s="8" t="str">
        <f t="shared" ref="J4:J5" si="3">CONCATENATE($A$1,":",A4,";",$B$1,":",B4,";",$C$1,":",C4,";",$D$1,":",D4,";",$E$1,":",E4,";",$F$1,":",F4,";",$G$1,":",G4,";",$H$1,":",H4,";",$I$1,":",I4,)</f>
        <v>category:switch;subCategory:spine;spineName:Spine311;nodeBlock:311;name:311_swiProf;intProfile:311_intProf;policyGroup:spine_swiPolGrp;nameAlias:;descr:</v>
      </c>
    </row>
    <row r="5" spans="1:10" x14ac:dyDescent="0.25">
      <c r="A5" s="8" t="s">
        <v>273</v>
      </c>
      <c r="B5" s="8" t="s">
        <v>348</v>
      </c>
      <c r="C5" s="8" t="str">
        <f t="shared" si="0"/>
        <v>Spine312</v>
      </c>
      <c r="D5" s="8">
        <v>312</v>
      </c>
      <c r="E5" s="8" t="str">
        <f t="shared" si="1"/>
        <v>312_swiProf</v>
      </c>
      <c r="F5" s="8" t="str">
        <f t="shared" si="2"/>
        <v>312_intProf</v>
      </c>
      <c r="G5" s="8" t="s">
        <v>340</v>
      </c>
      <c r="H5" s="8"/>
      <c r="I5" s="8"/>
      <c r="J5" s="8" t="str">
        <f t="shared" si="3"/>
        <v>category:switch;subCategory:spine;spineName:Spine312;nodeBlock:312;name:312_swiProf;intProfile:312_intProf;policyGroup:spine_swiPolGrp;nameAlias:;descr:</v>
      </c>
    </row>
    <row r="6" spans="1:10" x14ac:dyDescent="0.25">
      <c r="A6" s="8"/>
      <c r="B6" s="8"/>
      <c r="C6" s="8"/>
      <c r="D6" s="8"/>
      <c r="E6" s="8"/>
      <c r="F6" s="8"/>
      <c r="G6" s="8"/>
      <c r="H6" s="8"/>
      <c r="I6" s="8"/>
      <c r="J6" s="8"/>
    </row>
    <row r="7" spans="1:10" x14ac:dyDescent="0.25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x14ac:dyDescent="0.25">
      <c r="A8" s="8"/>
      <c r="B8" s="8"/>
      <c r="C8" s="8"/>
      <c r="D8" s="8"/>
      <c r="E8" s="8"/>
      <c r="F8" s="8"/>
      <c r="G8" s="8"/>
      <c r="H8" s="8"/>
      <c r="I8" s="8"/>
      <c r="J8" s="8"/>
    </row>
    <row r="9" spans="1:10" x14ac:dyDescent="0.25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</row>
  </sheetData>
  <autoFilter ref="A1:J3" xr:uid="{C34CFCD7-E375-43E5-AE36-2F58A445D5DF}"/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155E8-A70C-4FA5-9A65-E39BBB7A80FB}">
  <sheetPr>
    <tabColor theme="8" tint="0.59999389629810485"/>
  </sheetPr>
  <dimension ref="A1:G47"/>
  <sheetViews>
    <sheetView zoomScale="85" zoomScaleNormal="85" workbookViewId="0">
      <selection activeCell="E23" sqref="E23"/>
    </sheetView>
  </sheetViews>
  <sheetFormatPr defaultRowHeight="15" x14ac:dyDescent="0.25"/>
  <cols>
    <col min="1" max="1" width="12" customWidth="1"/>
    <col min="2" max="2" width="14.5703125" customWidth="1"/>
    <col min="3" max="4" width="16.7109375" customWidth="1"/>
    <col min="5" max="5" width="16.42578125" customWidth="1"/>
    <col min="6" max="6" width="8" bestFit="1" customWidth="1"/>
    <col min="7" max="7" width="43.42578125" customWidth="1"/>
  </cols>
  <sheetData>
    <row r="1" spans="1:7" x14ac:dyDescent="0.25">
      <c r="A1" s="3" t="s">
        <v>101</v>
      </c>
      <c r="B1" s="3" t="s">
        <v>91</v>
      </c>
      <c r="C1" s="3" t="s">
        <v>349</v>
      </c>
      <c r="D1" s="3" t="s">
        <v>0</v>
      </c>
      <c r="E1" s="3" t="s">
        <v>3</v>
      </c>
      <c r="F1" s="3" t="s">
        <v>4</v>
      </c>
      <c r="G1" s="3" t="s">
        <v>100</v>
      </c>
    </row>
    <row r="2" spans="1:7" x14ac:dyDescent="0.25">
      <c r="A2" s="2" t="s">
        <v>350</v>
      </c>
      <c r="B2" s="2" t="s">
        <v>351</v>
      </c>
      <c r="C2" s="2" t="s">
        <v>274</v>
      </c>
      <c r="D2" s="2" t="s">
        <v>281</v>
      </c>
      <c r="E2" s="2"/>
      <c r="F2" s="2"/>
      <c r="G2" s="2" t="str">
        <f>CONCATENATE($A$1,":",A2,";",$B$1,":",B2,";",$C$1,":",C2,";",$D$1,":",D2,";",$E$1,":",E2,";",$F$1,":",F2)</f>
        <v>category:interface;subCategory:profile;nodeType:leaf;name:101_intProf;nameAlias:;descr:</v>
      </c>
    </row>
    <row r="3" spans="1:7" x14ac:dyDescent="0.25">
      <c r="A3" s="2" t="s">
        <v>350</v>
      </c>
      <c r="B3" s="2" t="s">
        <v>351</v>
      </c>
      <c r="C3" s="2" t="s">
        <v>274</v>
      </c>
      <c r="D3" s="2" t="s">
        <v>283</v>
      </c>
      <c r="E3" s="2"/>
      <c r="F3" s="2"/>
      <c r="G3" s="2" t="str">
        <f t="shared" ref="G3:G47" si="0">CONCATENATE($A$1,":",A3,";",$B$1,":",B3,";",$C$1,":",C3,";",$D$1,":",D3,";",$E$1,":",E3,";",$F$1,":",F3)</f>
        <v>category:interface;subCategory:profile;nodeType:leaf;name:102_intProf;nameAlias:;descr:</v>
      </c>
    </row>
    <row r="4" spans="1:7" x14ac:dyDescent="0.25">
      <c r="A4" s="2" t="s">
        <v>350</v>
      </c>
      <c r="B4" s="2" t="s">
        <v>351</v>
      </c>
      <c r="C4" s="2" t="s">
        <v>274</v>
      </c>
      <c r="D4" s="2" t="s">
        <v>352</v>
      </c>
      <c r="E4" s="2"/>
      <c r="F4" s="2"/>
      <c r="G4" s="2" t="str">
        <f t="shared" si="0"/>
        <v>category:interface;subCategory:profile;nodeType:leaf;name:111_intProf;nameAlias:;descr:</v>
      </c>
    </row>
    <row r="5" spans="1:7" x14ac:dyDescent="0.25">
      <c r="A5" s="2" t="s">
        <v>350</v>
      </c>
      <c r="B5" s="2" t="s">
        <v>351</v>
      </c>
      <c r="C5" s="2" t="s">
        <v>274</v>
      </c>
      <c r="D5" s="2" t="s">
        <v>353</v>
      </c>
      <c r="E5" s="2"/>
      <c r="F5" s="2"/>
      <c r="G5" s="2" t="str">
        <f t="shared" si="0"/>
        <v>category:interface;subCategory:profile;nodeType:leaf;name:112_intProf;nameAlias:;descr:</v>
      </c>
    </row>
    <row r="6" spans="1:7" x14ac:dyDescent="0.25">
      <c r="A6" s="2" t="s">
        <v>350</v>
      </c>
      <c r="B6" s="2" t="s">
        <v>351</v>
      </c>
      <c r="C6" s="2" t="s">
        <v>274</v>
      </c>
      <c r="D6" s="2" t="s">
        <v>354</v>
      </c>
      <c r="E6" s="2"/>
      <c r="F6" s="2"/>
      <c r="G6" s="2" t="str">
        <f t="shared" si="0"/>
        <v>category:interface;subCategory:profile;nodeType:leaf;name:121_intProf;nameAlias:;descr:</v>
      </c>
    </row>
    <row r="7" spans="1:7" x14ac:dyDescent="0.25">
      <c r="A7" s="2" t="s">
        <v>350</v>
      </c>
      <c r="B7" s="2" t="s">
        <v>351</v>
      </c>
      <c r="C7" s="2" t="s">
        <v>274</v>
      </c>
      <c r="D7" s="2" t="s">
        <v>355</v>
      </c>
      <c r="E7" s="2"/>
      <c r="F7" s="2"/>
      <c r="G7" s="2" t="str">
        <f t="shared" si="0"/>
        <v>category:interface;subCategory:profile;nodeType:leaf;name:122_intProf;nameAlias:;descr:</v>
      </c>
    </row>
    <row r="8" spans="1:7" x14ac:dyDescent="0.25">
      <c r="A8" s="2" t="s">
        <v>350</v>
      </c>
      <c r="B8" s="2" t="s">
        <v>351</v>
      </c>
      <c r="C8" s="2" t="s">
        <v>274</v>
      </c>
      <c r="D8" s="2" t="s">
        <v>356</v>
      </c>
      <c r="E8" s="2"/>
      <c r="F8" s="2"/>
      <c r="G8" s="2" t="str">
        <f t="shared" si="0"/>
        <v>category:interface;subCategory:profile;nodeType:leaf;name:123_intProf;nameAlias:;descr:</v>
      </c>
    </row>
    <row r="9" spans="1:7" x14ac:dyDescent="0.25">
      <c r="A9" s="2" t="s">
        <v>350</v>
      </c>
      <c r="B9" s="2" t="s">
        <v>351</v>
      </c>
      <c r="C9" s="2" t="s">
        <v>274</v>
      </c>
      <c r="D9" s="2" t="s">
        <v>357</v>
      </c>
      <c r="E9" s="2"/>
      <c r="F9" s="2"/>
      <c r="G9" s="2" t="str">
        <f t="shared" si="0"/>
        <v>category:interface;subCategory:profile;nodeType:leaf;name:124_intProf;nameAlias:;descr:</v>
      </c>
    </row>
    <row r="10" spans="1:7" x14ac:dyDescent="0.25">
      <c r="A10" s="2" t="s">
        <v>350</v>
      </c>
      <c r="B10" s="2" t="s">
        <v>351</v>
      </c>
      <c r="C10" s="2" t="s">
        <v>274</v>
      </c>
      <c r="D10" s="2" t="s">
        <v>358</v>
      </c>
      <c r="E10" s="2"/>
      <c r="F10" s="2"/>
      <c r="G10" s="2" t="str">
        <f t="shared" si="0"/>
        <v>category:interface;subCategory:profile;nodeType:leaf;name:125_intProf;nameAlias:;descr:</v>
      </c>
    </row>
    <row r="11" spans="1:7" x14ac:dyDescent="0.25">
      <c r="A11" s="2" t="s">
        <v>350</v>
      </c>
      <c r="B11" s="2" t="s">
        <v>351</v>
      </c>
      <c r="C11" s="2" t="s">
        <v>274</v>
      </c>
      <c r="D11" s="2" t="s">
        <v>359</v>
      </c>
      <c r="E11" s="2"/>
      <c r="F11" s="2"/>
      <c r="G11" s="2" t="str">
        <f t="shared" si="0"/>
        <v>category:interface;subCategory:profile;nodeType:leaf;name:126_intProf;nameAlias:;descr:</v>
      </c>
    </row>
    <row r="12" spans="1:7" x14ac:dyDescent="0.25">
      <c r="A12" s="2" t="s">
        <v>350</v>
      </c>
      <c r="B12" s="2" t="s">
        <v>351</v>
      </c>
      <c r="C12" s="2" t="s">
        <v>274</v>
      </c>
      <c r="D12" s="2" t="s">
        <v>360</v>
      </c>
      <c r="E12" s="2"/>
      <c r="F12" s="2"/>
      <c r="G12" s="2" t="str">
        <f t="shared" si="0"/>
        <v>category:interface;subCategory:profile;nodeType:leaf;name:127_intProf;nameAlias:;descr:</v>
      </c>
    </row>
    <row r="13" spans="1:7" x14ac:dyDescent="0.25">
      <c r="A13" s="2" t="s">
        <v>350</v>
      </c>
      <c r="B13" s="2" t="s">
        <v>351</v>
      </c>
      <c r="C13" s="2" t="s">
        <v>274</v>
      </c>
      <c r="D13" s="2" t="s">
        <v>361</v>
      </c>
      <c r="E13" s="2"/>
      <c r="F13" s="2"/>
      <c r="G13" s="2" t="str">
        <f t="shared" si="0"/>
        <v>category:interface;subCategory:profile;nodeType:leaf;name:128_intProf;nameAlias:;descr:</v>
      </c>
    </row>
    <row r="14" spans="1:7" x14ac:dyDescent="0.25">
      <c r="A14" s="2" t="s">
        <v>350</v>
      </c>
      <c r="B14" s="2" t="s">
        <v>351</v>
      </c>
      <c r="C14" s="2" t="s">
        <v>274</v>
      </c>
      <c r="D14" s="2" t="s">
        <v>362</v>
      </c>
      <c r="E14" s="2"/>
      <c r="F14" s="2"/>
      <c r="G14" s="2" t="str">
        <f t="shared" si="0"/>
        <v>category:interface;subCategory:profile;nodeType:leaf;name:129_intProf;nameAlias:;descr:</v>
      </c>
    </row>
    <row r="15" spans="1:7" x14ac:dyDescent="0.25">
      <c r="A15" s="2" t="s">
        <v>350</v>
      </c>
      <c r="B15" s="2" t="s">
        <v>351</v>
      </c>
      <c r="C15" s="2" t="s">
        <v>274</v>
      </c>
      <c r="D15" s="2" t="s">
        <v>363</v>
      </c>
      <c r="E15" s="2"/>
      <c r="F15" s="2"/>
      <c r="G15" s="2" t="str">
        <f t="shared" si="0"/>
        <v>category:interface;subCategory:profile;nodeType:leaf;name:130_intProf;nameAlias:;descr:</v>
      </c>
    </row>
    <row r="16" spans="1:7" x14ac:dyDescent="0.25">
      <c r="A16" s="2" t="s">
        <v>350</v>
      </c>
      <c r="B16" s="2" t="s">
        <v>351</v>
      </c>
      <c r="C16" s="2" t="s">
        <v>274</v>
      </c>
      <c r="D16" s="2" t="s">
        <v>364</v>
      </c>
      <c r="E16" s="2"/>
      <c r="F16" s="2"/>
      <c r="G16" s="2" t="str">
        <f t="shared" si="0"/>
        <v>category:interface;subCategory:profile;nodeType:leaf;name:131_intProf;nameAlias:;descr:</v>
      </c>
    </row>
    <row r="17" spans="1:7" x14ac:dyDescent="0.25">
      <c r="A17" s="2" t="s">
        <v>350</v>
      </c>
      <c r="B17" s="2" t="s">
        <v>351</v>
      </c>
      <c r="C17" s="2" t="s">
        <v>274</v>
      </c>
      <c r="D17" s="2" t="s">
        <v>365</v>
      </c>
      <c r="E17" s="2"/>
      <c r="F17" s="2"/>
      <c r="G17" s="2" t="str">
        <f t="shared" si="0"/>
        <v>category:interface;subCategory:profile;nodeType:leaf;name:132_intProf;nameAlias:;descr:</v>
      </c>
    </row>
    <row r="18" spans="1:7" x14ac:dyDescent="0.25">
      <c r="A18" s="2" t="s">
        <v>350</v>
      </c>
      <c r="B18" s="2" t="s">
        <v>351</v>
      </c>
      <c r="C18" s="2" t="s">
        <v>274</v>
      </c>
      <c r="D18" s="2" t="s">
        <v>366</v>
      </c>
      <c r="E18" s="2"/>
      <c r="F18" s="2"/>
      <c r="G18" s="2" t="str">
        <f t="shared" si="0"/>
        <v>category:interface;subCategory:profile;nodeType:leaf;name:133_intProf;nameAlias:;descr:</v>
      </c>
    </row>
    <row r="19" spans="1:7" x14ac:dyDescent="0.25">
      <c r="A19" s="2" t="s">
        <v>350</v>
      </c>
      <c r="B19" s="2" t="s">
        <v>351</v>
      </c>
      <c r="C19" s="2" t="s">
        <v>274</v>
      </c>
      <c r="D19" s="2" t="s">
        <v>367</v>
      </c>
      <c r="E19" s="2"/>
      <c r="F19" s="2"/>
      <c r="G19" s="2" t="str">
        <f t="shared" si="0"/>
        <v>category:interface;subCategory:profile;nodeType:leaf;name:134_intProf;nameAlias:;descr:</v>
      </c>
    </row>
    <row r="20" spans="1:7" x14ac:dyDescent="0.25">
      <c r="A20" s="2" t="s">
        <v>350</v>
      </c>
      <c r="B20" s="2" t="s">
        <v>351</v>
      </c>
      <c r="C20" s="2" t="s">
        <v>274</v>
      </c>
      <c r="D20" s="2" t="s">
        <v>368</v>
      </c>
      <c r="E20" s="2"/>
      <c r="F20" s="2"/>
      <c r="G20" s="2" t="str">
        <f t="shared" si="0"/>
        <v>category:interface;subCategory:profile;nodeType:leaf;name:135_intProf;nameAlias:;descr:</v>
      </c>
    </row>
    <row r="21" spans="1:7" x14ac:dyDescent="0.25">
      <c r="A21" s="2" t="s">
        <v>350</v>
      </c>
      <c r="B21" s="2" t="s">
        <v>351</v>
      </c>
      <c r="C21" s="2" t="s">
        <v>274</v>
      </c>
      <c r="D21" s="2" t="s">
        <v>369</v>
      </c>
      <c r="E21" s="2"/>
      <c r="F21" s="2"/>
      <c r="G21" s="2" t="str">
        <f t="shared" si="0"/>
        <v>category:interface;subCategory:profile;nodeType:leaf;name:136_intProf;nameAlias:;descr:</v>
      </c>
    </row>
    <row r="22" spans="1:7" x14ac:dyDescent="0.25">
      <c r="A22" s="2" t="s">
        <v>350</v>
      </c>
      <c r="B22" s="2" t="s">
        <v>351</v>
      </c>
      <c r="C22" s="2" t="s">
        <v>274</v>
      </c>
      <c r="D22" s="2" t="s">
        <v>370</v>
      </c>
      <c r="E22" s="2"/>
      <c r="F22" s="2"/>
      <c r="G22" s="2" t="str">
        <f t="shared" si="0"/>
        <v>category:interface;subCategory:profile;nodeType:leaf;name:137_intProf;nameAlias:;descr:</v>
      </c>
    </row>
    <row r="23" spans="1:7" x14ac:dyDescent="0.25">
      <c r="A23" s="2" t="s">
        <v>350</v>
      </c>
      <c r="B23" s="2" t="s">
        <v>351</v>
      </c>
      <c r="C23" s="2" t="s">
        <v>274</v>
      </c>
      <c r="D23" s="2" t="s">
        <v>371</v>
      </c>
      <c r="E23" s="2"/>
      <c r="F23" s="2"/>
      <c r="G23" s="2" t="str">
        <f t="shared" si="0"/>
        <v>category:interface;subCategory:profile;nodeType:leaf;name:138_intProf;nameAlias:;descr:</v>
      </c>
    </row>
    <row r="24" spans="1:7" x14ac:dyDescent="0.25">
      <c r="A24" s="2" t="s">
        <v>350</v>
      </c>
      <c r="B24" s="2" t="s">
        <v>351</v>
      </c>
      <c r="C24" s="2" t="s">
        <v>274</v>
      </c>
      <c r="D24" s="2" t="s">
        <v>372</v>
      </c>
      <c r="E24" s="2"/>
      <c r="F24" s="2"/>
      <c r="G24" s="2" t="str">
        <f t="shared" si="0"/>
        <v>category:interface;subCategory:profile;nodeType:leaf;name:101_102_intProf;nameAlias:;descr:</v>
      </c>
    </row>
    <row r="25" spans="1:7" x14ac:dyDescent="0.25">
      <c r="A25" s="2" t="s">
        <v>350</v>
      </c>
      <c r="B25" s="2" t="s">
        <v>351</v>
      </c>
      <c r="C25" s="2" t="s">
        <v>274</v>
      </c>
      <c r="D25" s="2" t="s">
        <v>373</v>
      </c>
      <c r="E25" s="2"/>
      <c r="F25" s="2"/>
      <c r="G25" s="2" t="str">
        <f t="shared" si="0"/>
        <v>category:interface;subCategory:profile;nodeType:leaf;name:111_112_intProf;nameAlias:;descr:</v>
      </c>
    </row>
    <row r="26" spans="1:7" x14ac:dyDescent="0.25">
      <c r="A26" s="2" t="s">
        <v>350</v>
      </c>
      <c r="B26" s="2" t="s">
        <v>351</v>
      </c>
      <c r="C26" s="2" t="s">
        <v>274</v>
      </c>
      <c r="D26" s="2" t="s">
        <v>374</v>
      </c>
      <c r="E26" s="2"/>
      <c r="F26" s="2"/>
      <c r="G26" s="2" t="str">
        <f t="shared" si="0"/>
        <v>category:interface;subCategory:profile;nodeType:leaf;name:121_122_intProf;nameAlias:;descr:</v>
      </c>
    </row>
    <row r="27" spans="1:7" x14ac:dyDescent="0.25">
      <c r="A27" s="2" t="s">
        <v>350</v>
      </c>
      <c r="B27" s="2" t="s">
        <v>351</v>
      </c>
      <c r="C27" s="2" t="s">
        <v>274</v>
      </c>
      <c r="D27" s="2" t="s">
        <v>375</v>
      </c>
      <c r="E27" s="2"/>
      <c r="F27" s="2"/>
      <c r="G27" s="2" t="str">
        <f t="shared" si="0"/>
        <v>category:interface;subCategory:profile;nodeType:leaf;name:123_124_intProf;nameAlias:;descr:</v>
      </c>
    </row>
    <row r="28" spans="1:7" x14ac:dyDescent="0.25">
      <c r="A28" s="2" t="s">
        <v>350</v>
      </c>
      <c r="B28" s="2" t="s">
        <v>351</v>
      </c>
      <c r="C28" s="2" t="s">
        <v>274</v>
      </c>
      <c r="D28" s="2" t="s">
        <v>376</v>
      </c>
      <c r="E28" s="2"/>
      <c r="F28" s="2"/>
      <c r="G28" s="2" t="str">
        <f t="shared" si="0"/>
        <v>category:interface;subCategory:profile;nodeType:leaf;name:125_126_intProf;nameAlias:;descr:</v>
      </c>
    </row>
    <row r="29" spans="1:7" x14ac:dyDescent="0.25">
      <c r="A29" s="2" t="s">
        <v>350</v>
      </c>
      <c r="B29" s="2" t="s">
        <v>351</v>
      </c>
      <c r="C29" s="2" t="s">
        <v>274</v>
      </c>
      <c r="D29" s="2" t="s">
        <v>377</v>
      </c>
      <c r="E29" s="2"/>
      <c r="F29" s="2"/>
      <c r="G29" s="2" t="str">
        <f t="shared" si="0"/>
        <v>category:interface;subCategory:profile;nodeType:leaf;name:127_128_intProf;nameAlias:;descr:</v>
      </c>
    </row>
    <row r="30" spans="1:7" x14ac:dyDescent="0.25">
      <c r="A30" s="2" t="s">
        <v>350</v>
      </c>
      <c r="B30" s="2" t="s">
        <v>351</v>
      </c>
      <c r="C30" s="2" t="s">
        <v>274</v>
      </c>
      <c r="D30" s="2" t="s">
        <v>378</v>
      </c>
      <c r="E30" s="2"/>
      <c r="F30" s="2"/>
      <c r="G30" s="2" t="str">
        <f t="shared" si="0"/>
        <v>category:interface;subCategory:profile;nodeType:leaf;name:129_130_intProf;nameAlias:;descr:</v>
      </c>
    </row>
    <row r="31" spans="1:7" x14ac:dyDescent="0.25">
      <c r="A31" s="2" t="s">
        <v>350</v>
      </c>
      <c r="B31" s="2" t="s">
        <v>351</v>
      </c>
      <c r="C31" s="2" t="s">
        <v>274</v>
      </c>
      <c r="D31" s="2" t="s">
        <v>379</v>
      </c>
      <c r="E31" s="2"/>
      <c r="F31" s="2"/>
      <c r="G31" s="2" t="str">
        <f t="shared" si="0"/>
        <v>category:interface;subCategory:profile;nodeType:leaf;name:131_132_intProf;nameAlias:;descr:</v>
      </c>
    </row>
    <row r="32" spans="1:7" x14ac:dyDescent="0.25">
      <c r="A32" s="2" t="s">
        <v>350</v>
      </c>
      <c r="B32" s="2" t="s">
        <v>351</v>
      </c>
      <c r="C32" s="2" t="s">
        <v>274</v>
      </c>
      <c r="D32" s="2" t="s">
        <v>380</v>
      </c>
      <c r="E32" s="2"/>
      <c r="F32" s="2"/>
      <c r="G32" s="2" t="str">
        <f t="shared" si="0"/>
        <v>category:interface;subCategory:profile;nodeType:leaf;name:133_134_intProf;nameAlias:;descr:</v>
      </c>
    </row>
    <row r="33" spans="1:7" x14ac:dyDescent="0.25">
      <c r="A33" s="2" t="s">
        <v>350</v>
      </c>
      <c r="B33" s="2" t="s">
        <v>351</v>
      </c>
      <c r="C33" s="2" t="s">
        <v>274</v>
      </c>
      <c r="D33" s="2" t="s">
        <v>381</v>
      </c>
      <c r="E33" s="2"/>
      <c r="F33" s="2"/>
      <c r="G33" s="2" t="str">
        <f t="shared" si="0"/>
        <v>category:interface;subCategory:profile;nodeType:leaf;name:135_136_intProf;nameAlias:;descr:</v>
      </c>
    </row>
    <row r="34" spans="1:7" x14ac:dyDescent="0.25">
      <c r="A34" s="2" t="s">
        <v>350</v>
      </c>
      <c r="B34" s="2" t="s">
        <v>351</v>
      </c>
      <c r="C34" s="2" t="s">
        <v>274</v>
      </c>
      <c r="D34" s="2" t="s">
        <v>382</v>
      </c>
      <c r="E34" s="2"/>
      <c r="F34" s="2"/>
      <c r="G34" s="2" t="str">
        <f t="shared" si="0"/>
        <v>category:interface;subCategory:profile;nodeType:leaf;name:137_138_intProf;nameAlias:;descr:</v>
      </c>
    </row>
    <row r="35" spans="1:7" x14ac:dyDescent="0.25">
      <c r="A35" s="2" t="s">
        <v>350</v>
      </c>
      <c r="B35" s="2" t="s">
        <v>351</v>
      </c>
      <c r="C35" s="2" t="s">
        <v>274</v>
      </c>
      <c r="D35" s="2" t="s">
        <v>383</v>
      </c>
      <c r="E35" s="2"/>
      <c r="F35" s="2"/>
      <c r="G35" s="2" t="str">
        <f t="shared" si="0"/>
        <v>category:interface;subCategory:profile;nodeType:leaf;name:201_intProf;nameAlias:;descr:</v>
      </c>
    </row>
    <row r="36" spans="1:7" x14ac:dyDescent="0.25">
      <c r="A36" s="2" t="s">
        <v>350</v>
      </c>
      <c r="B36" s="2" t="s">
        <v>351</v>
      </c>
      <c r="C36" s="2" t="s">
        <v>274</v>
      </c>
      <c r="D36" s="2" t="s">
        <v>384</v>
      </c>
      <c r="E36" s="2"/>
      <c r="F36" s="2"/>
      <c r="G36" s="2" t="str">
        <f t="shared" si="0"/>
        <v>category:interface;subCategory:profile;nodeType:leaf;name:202_intProf;nameAlias:;descr:</v>
      </c>
    </row>
    <row r="37" spans="1:7" x14ac:dyDescent="0.25">
      <c r="A37" s="2" t="s">
        <v>350</v>
      </c>
      <c r="B37" s="2" t="s">
        <v>351</v>
      </c>
      <c r="C37" s="2" t="s">
        <v>274</v>
      </c>
      <c r="D37" s="2" t="s">
        <v>385</v>
      </c>
      <c r="E37" s="2"/>
      <c r="F37" s="2"/>
      <c r="G37" s="2" t="str">
        <f t="shared" si="0"/>
        <v>category:interface;subCategory:profile;nodeType:leaf;name:211_intProf;nameAlias:;descr:</v>
      </c>
    </row>
    <row r="38" spans="1:7" x14ac:dyDescent="0.25">
      <c r="A38" s="2" t="s">
        <v>350</v>
      </c>
      <c r="B38" s="2" t="s">
        <v>351</v>
      </c>
      <c r="C38" s="2" t="s">
        <v>274</v>
      </c>
      <c r="D38" s="2" t="s">
        <v>386</v>
      </c>
      <c r="E38" s="2"/>
      <c r="F38" s="2"/>
      <c r="G38" s="2" t="str">
        <f t="shared" si="0"/>
        <v>category:interface;subCategory:profile;nodeType:leaf;name:212_intProf;nameAlias:;descr:</v>
      </c>
    </row>
    <row r="39" spans="1:7" x14ac:dyDescent="0.25">
      <c r="A39" s="2" t="s">
        <v>350</v>
      </c>
      <c r="B39" s="2" t="s">
        <v>351</v>
      </c>
      <c r="C39" s="2" t="s">
        <v>274</v>
      </c>
      <c r="D39" s="2" t="s">
        <v>387</v>
      </c>
      <c r="E39" s="2"/>
      <c r="F39" s="2"/>
      <c r="G39" s="2" t="str">
        <f t="shared" si="0"/>
        <v>category:interface;subCategory:profile;nodeType:leaf;name:221_intProf;nameAlias:;descr:</v>
      </c>
    </row>
    <row r="40" spans="1:7" x14ac:dyDescent="0.25">
      <c r="A40" s="2" t="s">
        <v>350</v>
      </c>
      <c r="B40" s="2" t="s">
        <v>351</v>
      </c>
      <c r="C40" s="2" t="s">
        <v>274</v>
      </c>
      <c r="D40" s="2" t="s">
        <v>388</v>
      </c>
      <c r="E40" s="2"/>
      <c r="F40" s="2"/>
      <c r="G40" s="2" t="str">
        <f t="shared" si="0"/>
        <v>category:interface;subCategory:profile;nodeType:leaf;name:222_intProf;nameAlias:;descr:</v>
      </c>
    </row>
    <row r="41" spans="1:7" x14ac:dyDescent="0.25">
      <c r="A41" s="2" t="s">
        <v>350</v>
      </c>
      <c r="B41" s="2" t="s">
        <v>351</v>
      </c>
      <c r="C41" s="2" t="s">
        <v>274</v>
      </c>
      <c r="D41" s="2" t="s">
        <v>389</v>
      </c>
      <c r="E41" s="2"/>
      <c r="F41" s="2"/>
      <c r="G41" s="2" t="str">
        <f t="shared" si="0"/>
        <v>category:interface;subCategory:profile;nodeType:leaf;name:201_202_intProf;nameAlias:;descr:</v>
      </c>
    </row>
    <row r="42" spans="1:7" x14ac:dyDescent="0.25">
      <c r="A42" s="2" t="s">
        <v>350</v>
      </c>
      <c r="B42" s="2" t="s">
        <v>351</v>
      </c>
      <c r="C42" s="2" t="s">
        <v>274</v>
      </c>
      <c r="D42" s="2" t="s">
        <v>390</v>
      </c>
      <c r="E42" s="2"/>
      <c r="F42" s="2"/>
      <c r="G42" s="2" t="str">
        <f t="shared" si="0"/>
        <v>category:interface;subCategory:profile;nodeType:leaf;name:211_212_intProf;nameAlias:;descr:</v>
      </c>
    </row>
    <row r="43" spans="1:7" x14ac:dyDescent="0.25">
      <c r="A43" s="2" t="s">
        <v>350</v>
      </c>
      <c r="B43" s="2" t="s">
        <v>351</v>
      </c>
      <c r="C43" s="2" t="s">
        <v>274</v>
      </c>
      <c r="D43" s="2" t="s">
        <v>391</v>
      </c>
      <c r="E43" s="2"/>
      <c r="F43" s="2"/>
      <c r="G43" s="2" t="str">
        <f t="shared" si="0"/>
        <v>category:interface;subCategory:profile;nodeType:leaf;name:221_222_intProf;nameAlias:;descr:</v>
      </c>
    </row>
    <row r="44" spans="1:7" x14ac:dyDescent="0.25">
      <c r="A44" s="2" t="s">
        <v>350</v>
      </c>
      <c r="B44" s="2" t="s">
        <v>351</v>
      </c>
      <c r="C44" s="2" t="s">
        <v>348</v>
      </c>
      <c r="D44" s="10" t="s">
        <v>392</v>
      </c>
      <c r="E44" s="2"/>
      <c r="F44" s="2"/>
      <c r="G44" s="2" t="str">
        <f t="shared" si="0"/>
        <v>category:interface;subCategory:profile;nodeType:spine;name:spine301_intProf;nameAlias:;descr:</v>
      </c>
    </row>
    <row r="45" spans="1:7" x14ac:dyDescent="0.25">
      <c r="A45" s="2" t="s">
        <v>350</v>
      </c>
      <c r="B45" s="2" t="s">
        <v>351</v>
      </c>
      <c r="C45" s="2" t="s">
        <v>348</v>
      </c>
      <c r="D45" s="10" t="s">
        <v>393</v>
      </c>
      <c r="E45" s="2"/>
      <c r="F45" s="2"/>
      <c r="G45" s="2" t="str">
        <f t="shared" si="0"/>
        <v>category:interface;subCategory:profile;nodeType:spine;name:spine302_intProf;nameAlias:;descr:</v>
      </c>
    </row>
    <row r="46" spans="1:7" x14ac:dyDescent="0.25">
      <c r="A46" s="2" t="s">
        <v>350</v>
      </c>
      <c r="B46" s="2" t="s">
        <v>351</v>
      </c>
      <c r="C46" s="2" t="s">
        <v>348</v>
      </c>
      <c r="D46" s="10" t="s">
        <v>394</v>
      </c>
      <c r="E46" s="2"/>
      <c r="F46" s="2"/>
      <c r="G46" s="2" t="str">
        <f t="shared" si="0"/>
        <v>category:interface;subCategory:profile;nodeType:spine;name:spine311_intProf;nameAlias:;descr:</v>
      </c>
    </row>
    <row r="47" spans="1:7" x14ac:dyDescent="0.25">
      <c r="A47" s="2" t="s">
        <v>350</v>
      </c>
      <c r="B47" s="2" t="s">
        <v>351</v>
      </c>
      <c r="C47" s="2" t="s">
        <v>348</v>
      </c>
      <c r="D47" s="10" t="s">
        <v>395</v>
      </c>
      <c r="E47" s="2"/>
      <c r="F47" s="2"/>
      <c r="G47" s="2" t="str">
        <f t="shared" si="0"/>
        <v>category:interface;subCategory:profile;nodeType:spine;name:spine312_intProf;nameAlias:;descr:</v>
      </c>
    </row>
  </sheetData>
  <autoFilter ref="A1:G40" xr:uid="{237C469F-DC3C-4973-8027-F8636A020FD3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DD72B9-1A38-42E8-BFE8-5E4297E61445}">
          <x14:formula1>
            <xm:f>options!$A$2:$A$3</xm:f>
          </x14:formula1>
          <xm:sqref>C2:C47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1F4E-763B-4CD1-BC2C-232CC906679E}">
  <sheetPr>
    <tabColor theme="8" tint="0.59999389629810485"/>
  </sheetPr>
  <dimension ref="A1:I40"/>
  <sheetViews>
    <sheetView zoomScale="85" zoomScaleNormal="85" workbookViewId="0">
      <selection activeCell="H30" sqref="H30"/>
    </sheetView>
  </sheetViews>
  <sheetFormatPr defaultRowHeight="15" x14ac:dyDescent="0.25"/>
  <cols>
    <col min="1" max="1" width="15.7109375" customWidth="1"/>
    <col min="2" max="2" width="19" bestFit="1" customWidth="1"/>
    <col min="3" max="3" width="17.140625" customWidth="1"/>
    <col min="4" max="4" width="14" customWidth="1"/>
    <col min="5" max="5" width="17.7109375" customWidth="1"/>
    <col min="6" max="6" width="13.28515625" customWidth="1"/>
    <col min="7" max="7" width="14.28515625" customWidth="1"/>
    <col min="8" max="8" width="14.7109375" customWidth="1"/>
    <col min="9" max="9" width="65.140625" customWidth="1"/>
  </cols>
  <sheetData>
    <row r="1" spans="1:9" x14ac:dyDescent="0.25">
      <c r="A1" s="9" t="s">
        <v>101</v>
      </c>
      <c r="B1" s="9" t="s">
        <v>91</v>
      </c>
      <c r="C1" s="9" t="s">
        <v>0</v>
      </c>
      <c r="D1" s="9" t="s">
        <v>342</v>
      </c>
      <c r="E1" s="9" t="s">
        <v>343</v>
      </c>
      <c r="F1" s="9" t="s">
        <v>345</v>
      </c>
      <c r="G1" s="9" t="s">
        <v>346</v>
      </c>
      <c r="H1" s="9" t="s">
        <v>347</v>
      </c>
      <c r="I1" s="3" t="s">
        <v>100</v>
      </c>
    </row>
    <row r="2" spans="1:9" x14ac:dyDescent="0.25">
      <c r="A2" s="2" t="s">
        <v>338</v>
      </c>
      <c r="B2" s="2" t="s">
        <v>341</v>
      </c>
      <c r="C2" s="2" t="str">
        <f>CONCATENATE("leaf",G2,"-",H2,"_vpg")</f>
        <v>leaf101-102_vpg</v>
      </c>
      <c r="D2" s="2">
        <v>1</v>
      </c>
      <c r="E2" s="2" t="s">
        <v>344</v>
      </c>
      <c r="F2" s="2">
        <v>1</v>
      </c>
      <c r="G2" s="2">
        <v>101</v>
      </c>
      <c r="H2" s="2">
        <v>102</v>
      </c>
      <c r="I2" s="2" t="str">
        <f>CONCATENATE($A$1,":",A2,";",$B$1,":",B2,";",$C$1,":",C2,";",$D$1,":",D2,";",$E$1,":",E2,";",$F$1,":",F2,";",$G$1,":",G2,";",$H$1,":",H2)</f>
        <v>category:switchPolicy;subCategory:vpcProtectionGroup;name:leaf101-102_vpg;vpcID:1;tnVpcInstPolName:default;podId:1;nodeID01:101;nodeID02:102</v>
      </c>
    </row>
    <row r="3" spans="1:9" x14ac:dyDescent="0.25">
      <c r="A3" s="2" t="s">
        <v>338</v>
      </c>
      <c r="B3" s="2" t="s">
        <v>341</v>
      </c>
      <c r="C3" s="2" t="str">
        <f t="shared" ref="C3:C15" si="0">CONCATENATE("leaf",G3,"-",H3,"_vpg")</f>
        <v>leaf111-112_vpg</v>
      </c>
      <c r="D3" s="2">
        <v>10</v>
      </c>
      <c r="E3" s="2" t="s">
        <v>344</v>
      </c>
      <c r="F3" s="2">
        <v>1</v>
      </c>
      <c r="G3" s="2">
        <v>111</v>
      </c>
      <c r="H3" s="2">
        <v>112</v>
      </c>
      <c r="I3" s="2" t="str">
        <f t="shared" ref="I3:I15" si="1">CONCATENATE($A$1,":",A3,";",$B$1,":",B3,";",$C$1,":",C3,";",$D$1,":",D3,";",$E$1,":",E3,";",$F$1,":",F3,";",$G$1,":",G3,";",$H$1,":",H3)</f>
        <v>category:switchPolicy;subCategory:vpcProtectionGroup;name:leaf111-112_vpg;vpcID:10;tnVpcInstPolName:default;podId:1;nodeID01:111;nodeID02:112</v>
      </c>
    </row>
    <row r="4" spans="1:9" x14ac:dyDescent="0.25">
      <c r="A4" s="2" t="s">
        <v>338</v>
      </c>
      <c r="B4" s="2" t="s">
        <v>341</v>
      </c>
      <c r="C4" s="2" t="str">
        <f t="shared" si="0"/>
        <v>leaf121-122_vpg</v>
      </c>
      <c r="D4" s="2">
        <v>20</v>
      </c>
      <c r="E4" s="2" t="s">
        <v>344</v>
      </c>
      <c r="F4" s="2">
        <v>1</v>
      </c>
      <c r="G4" s="2">
        <v>121</v>
      </c>
      <c r="H4" s="2">
        <v>122</v>
      </c>
      <c r="I4" s="2" t="str">
        <f t="shared" si="1"/>
        <v>category:switchPolicy;subCategory:vpcProtectionGroup;name:leaf121-122_vpg;vpcID:20;tnVpcInstPolName:default;podId:1;nodeID01:121;nodeID02:122</v>
      </c>
    </row>
    <row r="5" spans="1:9" x14ac:dyDescent="0.25">
      <c r="A5" s="2" t="s">
        <v>338</v>
      </c>
      <c r="B5" s="2" t="s">
        <v>341</v>
      </c>
      <c r="C5" s="2" t="str">
        <f t="shared" si="0"/>
        <v>leaf123-124_vpg</v>
      </c>
      <c r="D5" s="2">
        <v>21</v>
      </c>
      <c r="E5" s="2" t="s">
        <v>344</v>
      </c>
      <c r="F5" s="2">
        <v>1</v>
      </c>
      <c r="G5" s="2">
        <v>123</v>
      </c>
      <c r="H5" s="2">
        <v>124</v>
      </c>
      <c r="I5" s="2" t="str">
        <f t="shared" si="1"/>
        <v>category:switchPolicy;subCategory:vpcProtectionGroup;name:leaf123-124_vpg;vpcID:21;tnVpcInstPolName:default;podId:1;nodeID01:123;nodeID02:124</v>
      </c>
    </row>
    <row r="6" spans="1:9" x14ac:dyDescent="0.25">
      <c r="A6" s="2" t="s">
        <v>338</v>
      </c>
      <c r="B6" s="2" t="s">
        <v>341</v>
      </c>
      <c r="C6" s="2" t="str">
        <f t="shared" si="0"/>
        <v>leaf125-126_vpg</v>
      </c>
      <c r="D6" s="2">
        <v>22</v>
      </c>
      <c r="E6" s="2" t="s">
        <v>344</v>
      </c>
      <c r="F6" s="2">
        <v>1</v>
      </c>
      <c r="G6" s="2">
        <v>125</v>
      </c>
      <c r="H6" s="2">
        <v>126</v>
      </c>
      <c r="I6" s="2" t="str">
        <f t="shared" si="1"/>
        <v>category:switchPolicy;subCategory:vpcProtectionGroup;name:leaf125-126_vpg;vpcID:22;tnVpcInstPolName:default;podId:1;nodeID01:125;nodeID02:126</v>
      </c>
    </row>
    <row r="7" spans="1:9" x14ac:dyDescent="0.25">
      <c r="A7" s="2" t="s">
        <v>338</v>
      </c>
      <c r="B7" s="2" t="s">
        <v>341</v>
      </c>
      <c r="C7" s="2" t="str">
        <f t="shared" si="0"/>
        <v>leaf127-128_vpg</v>
      </c>
      <c r="D7" s="2">
        <v>23</v>
      </c>
      <c r="E7" s="2" t="s">
        <v>344</v>
      </c>
      <c r="F7" s="2">
        <v>1</v>
      </c>
      <c r="G7" s="2">
        <v>127</v>
      </c>
      <c r="H7" s="2">
        <v>128</v>
      </c>
      <c r="I7" s="2" t="str">
        <f t="shared" si="1"/>
        <v>category:switchPolicy;subCategory:vpcProtectionGroup;name:leaf127-128_vpg;vpcID:23;tnVpcInstPolName:default;podId:1;nodeID01:127;nodeID02:128</v>
      </c>
    </row>
    <row r="8" spans="1:9" x14ac:dyDescent="0.25">
      <c r="A8" s="2" t="s">
        <v>338</v>
      </c>
      <c r="B8" s="2" t="s">
        <v>341</v>
      </c>
      <c r="C8" s="2" t="str">
        <f t="shared" si="0"/>
        <v>leaf129-130_vpg</v>
      </c>
      <c r="D8" s="2">
        <v>24</v>
      </c>
      <c r="E8" s="2" t="s">
        <v>344</v>
      </c>
      <c r="F8" s="2">
        <v>1</v>
      </c>
      <c r="G8" s="2">
        <v>129</v>
      </c>
      <c r="H8" s="2">
        <v>130</v>
      </c>
      <c r="I8" s="2" t="str">
        <f t="shared" si="1"/>
        <v>category:switchPolicy;subCategory:vpcProtectionGroup;name:leaf129-130_vpg;vpcID:24;tnVpcInstPolName:default;podId:1;nodeID01:129;nodeID02:130</v>
      </c>
    </row>
    <row r="9" spans="1:9" x14ac:dyDescent="0.25">
      <c r="A9" s="2" t="s">
        <v>338</v>
      </c>
      <c r="B9" s="2" t="s">
        <v>341</v>
      </c>
      <c r="C9" s="2" t="str">
        <f t="shared" si="0"/>
        <v>leaf131-132_vpg</v>
      </c>
      <c r="D9" s="2">
        <v>25</v>
      </c>
      <c r="E9" s="2" t="s">
        <v>344</v>
      </c>
      <c r="F9" s="2">
        <v>1</v>
      </c>
      <c r="G9" s="2">
        <v>131</v>
      </c>
      <c r="H9" s="2">
        <v>132</v>
      </c>
      <c r="I9" s="2" t="str">
        <f t="shared" si="1"/>
        <v>category:switchPolicy;subCategory:vpcProtectionGroup;name:leaf131-132_vpg;vpcID:25;tnVpcInstPolName:default;podId:1;nodeID01:131;nodeID02:132</v>
      </c>
    </row>
    <row r="10" spans="1:9" x14ac:dyDescent="0.25">
      <c r="A10" s="2" t="s">
        <v>338</v>
      </c>
      <c r="B10" s="2" t="s">
        <v>341</v>
      </c>
      <c r="C10" s="2" t="str">
        <f t="shared" si="0"/>
        <v>leaf133-134_vpg</v>
      </c>
      <c r="D10" s="2">
        <v>26</v>
      </c>
      <c r="E10" s="2" t="s">
        <v>344</v>
      </c>
      <c r="F10" s="2">
        <v>1</v>
      </c>
      <c r="G10" s="2">
        <v>133</v>
      </c>
      <c r="H10" s="2">
        <v>134</v>
      </c>
      <c r="I10" s="2" t="str">
        <f t="shared" si="1"/>
        <v>category:switchPolicy;subCategory:vpcProtectionGroup;name:leaf133-134_vpg;vpcID:26;tnVpcInstPolName:default;podId:1;nodeID01:133;nodeID02:134</v>
      </c>
    </row>
    <row r="11" spans="1:9" x14ac:dyDescent="0.25">
      <c r="A11" s="2" t="s">
        <v>338</v>
      </c>
      <c r="B11" s="2" t="s">
        <v>341</v>
      </c>
      <c r="C11" s="2" t="str">
        <f t="shared" si="0"/>
        <v>leaf135-136_vpg</v>
      </c>
      <c r="D11" s="2">
        <v>27</v>
      </c>
      <c r="E11" s="2" t="s">
        <v>344</v>
      </c>
      <c r="F11" s="2">
        <v>1</v>
      </c>
      <c r="G11" s="2">
        <v>135</v>
      </c>
      <c r="H11" s="2">
        <v>136</v>
      </c>
      <c r="I11" s="2" t="str">
        <f t="shared" si="1"/>
        <v>category:switchPolicy;subCategory:vpcProtectionGroup;name:leaf135-136_vpg;vpcID:27;tnVpcInstPolName:default;podId:1;nodeID01:135;nodeID02:136</v>
      </c>
    </row>
    <row r="12" spans="1:9" x14ac:dyDescent="0.25">
      <c r="A12" s="2" t="s">
        <v>338</v>
      </c>
      <c r="B12" s="2" t="s">
        <v>341</v>
      </c>
      <c r="C12" s="2" t="str">
        <f t="shared" si="0"/>
        <v>leaf137-138_vpg</v>
      </c>
      <c r="D12" s="2">
        <v>28</v>
      </c>
      <c r="E12" s="2" t="s">
        <v>344</v>
      </c>
      <c r="F12" s="2">
        <v>1</v>
      </c>
      <c r="G12" s="2">
        <v>137</v>
      </c>
      <c r="H12" s="2">
        <v>138</v>
      </c>
      <c r="I12" s="2" t="str">
        <f t="shared" si="1"/>
        <v>category:switchPolicy;subCategory:vpcProtectionGroup;name:leaf137-138_vpg;vpcID:28;tnVpcInstPolName:default;podId:1;nodeID01:137;nodeID02:138</v>
      </c>
    </row>
    <row r="13" spans="1:9" x14ac:dyDescent="0.25">
      <c r="A13" s="2" t="s">
        <v>338</v>
      </c>
      <c r="B13" s="2" t="s">
        <v>341</v>
      </c>
      <c r="C13" s="2" t="str">
        <f t="shared" si="0"/>
        <v>leaf201-202_vpg</v>
      </c>
      <c r="D13" s="2">
        <v>50</v>
      </c>
      <c r="E13" s="2" t="s">
        <v>344</v>
      </c>
      <c r="F13" s="2">
        <v>2</v>
      </c>
      <c r="G13" s="2">
        <v>201</v>
      </c>
      <c r="H13" s="2">
        <v>202</v>
      </c>
      <c r="I13" s="2" t="str">
        <f t="shared" si="1"/>
        <v>category:switchPolicy;subCategory:vpcProtectionGroup;name:leaf201-202_vpg;vpcID:50;tnVpcInstPolName:default;podId:2;nodeID01:201;nodeID02:202</v>
      </c>
    </row>
    <row r="14" spans="1:9" x14ac:dyDescent="0.25">
      <c r="A14" s="2" t="s">
        <v>338</v>
      </c>
      <c r="B14" s="2" t="s">
        <v>341</v>
      </c>
      <c r="C14" s="2" t="str">
        <f t="shared" si="0"/>
        <v>leaf211-212_vpg</v>
      </c>
      <c r="D14" s="2">
        <v>60</v>
      </c>
      <c r="E14" s="2" t="s">
        <v>344</v>
      </c>
      <c r="F14" s="2">
        <v>2</v>
      </c>
      <c r="G14" s="2">
        <v>211</v>
      </c>
      <c r="H14" s="2">
        <v>212</v>
      </c>
      <c r="I14" s="2" t="str">
        <f t="shared" si="1"/>
        <v>category:switchPolicy;subCategory:vpcProtectionGroup;name:leaf211-212_vpg;vpcID:60;tnVpcInstPolName:default;podId:2;nodeID01:211;nodeID02:212</v>
      </c>
    </row>
    <row r="15" spans="1:9" x14ac:dyDescent="0.25">
      <c r="A15" s="2" t="s">
        <v>338</v>
      </c>
      <c r="B15" s="2" t="s">
        <v>341</v>
      </c>
      <c r="C15" s="2" t="str">
        <f t="shared" si="0"/>
        <v>leaf221-222_vpg</v>
      </c>
      <c r="D15" s="2">
        <v>70</v>
      </c>
      <c r="E15" s="2" t="s">
        <v>344</v>
      </c>
      <c r="F15" s="2">
        <v>2</v>
      </c>
      <c r="G15" s="2">
        <v>221</v>
      </c>
      <c r="H15" s="2">
        <v>222</v>
      </c>
      <c r="I15" s="2" t="str">
        <f t="shared" si="1"/>
        <v>category:switchPolicy;subCategory:vpcProtectionGroup;name:leaf221-222_vpg;vpcID:70;tnVpcInstPolName:default;podId:2;nodeID01:221;nodeID02:222</v>
      </c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5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5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5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5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5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5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5">
      <c r="A40" s="2"/>
      <c r="B40" s="2"/>
      <c r="C40" s="2"/>
      <c r="D40" s="2"/>
      <c r="E40" s="2"/>
      <c r="F40" s="2"/>
      <c r="G40" s="2"/>
      <c r="H40" s="2"/>
      <c r="I40" s="2"/>
    </row>
  </sheetData>
  <autoFilter ref="A1:I40" xr:uid="{56E955CA-37C4-464B-9982-AF22E4736383}"/>
  <pageMargins left="0.7" right="0.7" top="0.75" bottom="0.75" header="0.3" footer="0.3"/>
  <pageSetup paperSize="9" orientation="portrait" horizontalDpi="90" verticalDpi="9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B8E6-9EE9-4B21-A502-1E993A4FC897}">
  <dimension ref="A1:A3"/>
  <sheetViews>
    <sheetView workbookViewId="0">
      <selection activeCell="N32" sqref="N32"/>
    </sheetView>
  </sheetViews>
  <sheetFormatPr defaultRowHeight="15" x14ac:dyDescent="0.25"/>
  <cols>
    <col min="1" max="1" width="17" customWidth="1"/>
  </cols>
  <sheetData>
    <row r="1" spans="1:1" x14ac:dyDescent="0.25">
      <c r="A1" s="7" t="s">
        <v>349</v>
      </c>
    </row>
    <row r="2" spans="1:1" x14ac:dyDescent="0.25">
      <c r="A2" t="s">
        <v>274</v>
      </c>
    </row>
    <row r="3" spans="1:1" x14ac:dyDescent="0.25">
      <c r="A3" t="s">
        <v>348</v>
      </c>
    </row>
  </sheetData>
  <pageMargins left="0.7" right="0.7" top="0.75" bottom="0.75" header="0.3" footer="0.3"/>
  <pageSetup paperSize="9" orientation="portrait" horizontalDpi="90" verticalDpi="9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6CD3-9B25-43FC-B25C-12CE346EB42E}">
  <sheetPr>
    <tabColor theme="7" tint="0.59999389629810485"/>
  </sheetPr>
  <dimension ref="A1:F66"/>
  <sheetViews>
    <sheetView zoomScale="90" zoomScaleNormal="90" workbookViewId="0">
      <selection activeCell="E24" sqref="E24"/>
    </sheetView>
  </sheetViews>
  <sheetFormatPr defaultRowHeight="15" x14ac:dyDescent="0.25"/>
  <cols>
    <col min="1" max="1" width="13.7109375" customWidth="1"/>
    <col min="2" max="2" width="20.140625" bestFit="1" customWidth="1"/>
    <col min="3" max="3" width="16.140625" customWidth="1"/>
    <col min="4" max="4" width="25.7109375" customWidth="1"/>
    <col min="5" max="5" width="82" bestFit="1" customWidth="1"/>
  </cols>
  <sheetData>
    <row r="1" spans="1:6" x14ac:dyDescent="0.25">
      <c r="A1" s="9" t="s">
        <v>13</v>
      </c>
      <c r="B1" s="9" t="s">
        <v>93</v>
      </c>
      <c r="C1" s="9" t="s">
        <v>92</v>
      </c>
      <c r="D1" s="9" t="s">
        <v>514</v>
      </c>
      <c r="E1" s="9" t="s">
        <v>100</v>
      </c>
    </row>
    <row r="2" spans="1:6" x14ac:dyDescent="0.25">
      <c r="A2" s="8" t="s">
        <v>99</v>
      </c>
      <c r="B2" s="8" t="s">
        <v>96</v>
      </c>
      <c r="C2" s="2" t="s">
        <v>131</v>
      </c>
      <c r="D2" s="8">
        <v>401</v>
      </c>
      <c r="E2" s="8" t="str">
        <f>CONCATENATE($A$1,":",A2,";",$B$1,":",B2,";",$C$1,":",C2,";",$D$1,":",D2)</f>
        <v>tenant:RCH;application-profile:rch_domain_app;epg:vlan401_epg;encap:401</v>
      </c>
      <c r="F2" t="str">
        <f>CONCATENATE("category:network;subCategory:bridgeDomainLink;bridge-domain:vlan",D2,"_bd;l3out:border_bgp_pod1_l3out",CHAR(10),"category:network;subCategory:bridgeDomainLink;bridge-domain:vlan",D2,"_bd;l3out:border_bgp_pod2_l3out",CHAR(10),
"category:network;subCategory:bridgeDomainLink;bridge-domain:vlan",D2,"_bd;l3out:border_eigrp_pod1_l3out",CHAR(10),
"category:network;subCategory:bridgeDomainLink;bridge-domain:vlan",D2,"_bd;l3out:border_eigrp_pod2_l3out",CHAR(10),
"category:network;subCategory:bridgeDomainLink;bridge-domain:vlan",D2,"_bd;l3out:distribution_ospf_pod1_l3out",CHAR(10),
"category:network;subCategory:bridgeDomainLink;bridge-domain:vlan",D2,"_bd;l3out:distribution_ospf_pod2_l3out",CHAR(10),
"category:network;subCategory:bridgeDomainLink;bridge-domain:vlan",D2,"_bd;l3out:utility_eigrp_pod1_l3out",CHAR(10),
"category:network;subCategory:bridgeDomainLink;bridge-domain:vlan",D2,"_bd;l3out:utility_eigrp_pod2_l3out")</f>
        <v>category:network;subCategory:bridgeDomainLink;bridge-domain:vlan401_bd;l3out:border_bgp_pod1_l3out
category:network;subCategory:bridgeDomainLink;bridge-domain:vlan401_bd;l3out:border_bgp_pod2_l3out
category:network;subCategory:bridgeDomainLink;bridge-domain:vlan401_bd;l3out:border_eigrp_pod1_l3out
category:network;subCategory:bridgeDomainLink;bridge-domain:vlan401_bd;l3out:border_eigrp_pod2_l3out
category:network;subCategory:bridgeDomainLink;bridge-domain:vlan401_bd;l3out:distribution_ospf_pod1_l3out
category:network;subCategory:bridgeDomainLink;bridge-domain:vlan401_bd;l3out:distribution_ospf_pod2_l3out
category:network;subCategory:bridgeDomainLink;bridge-domain:vlan401_bd;l3out:utility_eigrp_pod1_l3out
category:network;subCategory:bridgeDomainLink;bridge-domain:vlan401_bd;l3out:utility_eigrp_pod2_l3out</v>
      </c>
    </row>
    <row r="3" spans="1:6" x14ac:dyDescent="0.25">
      <c r="A3" s="8" t="s">
        <v>99</v>
      </c>
      <c r="B3" s="8" t="s">
        <v>96</v>
      </c>
      <c r="C3" s="2" t="s">
        <v>132</v>
      </c>
      <c r="D3" s="8">
        <v>402</v>
      </c>
      <c r="E3" s="8" t="str">
        <f t="shared" ref="E3:E66" si="0">CONCATENATE($A$1,":",A3,";",$B$1,":",B3,";",$C$1,":",C3,";",$D$1,":",D3)</f>
        <v>tenant:RCH;application-profile:rch_domain_app;epg:vlan402_epg;encap:402</v>
      </c>
      <c r="F3" t="str">
        <f t="shared" ref="F3:F66" si="1">CONCATENATE("category:network;subCategory:bridgeDomainLink;bridge-domain:vlan",D3,"_bd;l3out:border_bgp_pod1_l3out",CHAR(10),"category:network;subCategory:bridgeDomainLink;bridge-domain:vlan",D3,"_bd;l3out:border_bgp_pod2_l3out",CHAR(10),
"category:network;subCategory:bridgeDomainLink;bridge-domain:vlan",D3,"_bd;l3out:border_eigrp_pod1_l3out",CHAR(10),
"category:network;subCategory:bridgeDomainLink;bridge-domain:vlan",D3,"_bd;l3out:border_eigrp_pod2_l3out",CHAR(10),
"category:network;subCategory:bridgeDomainLink;bridge-domain:vlan",D3,"_bd;l3out:distribution_ospf_pod1_l3out",CHAR(10),
"category:network;subCategory:bridgeDomainLink;bridge-domain:vlan",D3,"_bd;l3out:distribution_ospf_pod2_l3out",CHAR(10),
"category:network;subCategory:bridgeDomainLink;bridge-domain:vlan",D3,"_bd;l3out:utility_eigrp_pod1_l3out",CHAR(10),
"category:network;subCategory:bridgeDomainLink;bridge-domain:vlan",D3,"_bd;l3out:utility_eigrp_pod2_l3out")</f>
        <v>category:network;subCategory:bridgeDomainLink;bridge-domain:vlan402_bd;l3out:border_bgp_pod1_l3out
category:network;subCategory:bridgeDomainLink;bridge-domain:vlan402_bd;l3out:border_bgp_pod2_l3out
category:network;subCategory:bridgeDomainLink;bridge-domain:vlan402_bd;l3out:border_eigrp_pod1_l3out
category:network;subCategory:bridgeDomainLink;bridge-domain:vlan402_bd;l3out:border_eigrp_pod2_l3out
category:network;subCategory:bridgeDomainLink;bridge-domain:vlan402_bd;l3out:distribution_ospf_pod1_l3out
category:network;subCategory:bridgeDomainLink;bridge-domain:vlan402_bd;l3out:distribution_ospf_pod2_l3out
category:network;subCategory:bridgeDomainLink;bridge-domain:vlan402_bd;l3out:utility_eigrp_pod1_l3out
category:network;subCategory:bridgeDomainLink;bridge-domain:vlan402_bd;l3out:utility_eigrp_pod2_l3out</v>
      </c>
    </row>
    <row r="4" spans="1:6" x14ac:dyDescent="0.25">
      <c r="A4" s="8" t="s">
        <v>99</v>
      </c>
      <c r="B4" s="8" t="s">
        <v>96</v>
      </c>
      <c r="C4" s="2" t="s">
        <v>102</v>
      </c>
      <c r="D4" s="8">
        <v>403</v>
      </c>
      <c r="E4" s="8" t="str">
        <f t="shared" si="0"/>
        <v>tenant:RCH;application-profile:rch_domain_app;epg:vlan403_epg;encap:403</v>
      </c>
      <c r="F4" t="str">
        <f t="shared" si="1"/>
        <v>category:network;subCategory:bridgeDomainLink;bridge-domain:vlan403_bd;l3out:border_bgp_pod1_l3out
category:network;subCategory:bridgeDomainLink;bridge-domain:vlan403_bd;l3out:border_bgp_pod2_l3out
category:network;subCategory:bridgeDomainLink;bridge-domain:vlan403_bd;l3out:border_eigrp_pod1_l3out
category:network;subCategory:bridgeDomainLink;bridge-domain:vlan403_bd;l3out:border_eigrp_pod2_l3out
category:network;subCategory:bridgeDomainLink;bridge-domain:vlan403_bd;l3out:distribution_ospf_pod1_l3out
category:network;subCategory:bridgeDomainLink;bridge-domain:vlan403_bd;l3out:distribution_ospf_pod2_l3out
category:network;subCategory:bridgeDomainLink;bridge-domain:vlan403_bd;l3out:utility_eigrp_pod1_l3out
category:network;subCategory:bridgeDomainLink;bridge-domain:vlan403_bd;l3out:utility_eigrp_pod2_l3out</v>
      </c>
    </row>
    <row r="5" spans="1:6" x14ac:dyDescent="0.25">
      <c r="A5" s="8" t="s">
        <v>99</v>
      </c>
      <c r="B5" s="8" t="s">
        <v>96</v>
      </c>
      <c r="C5" s="2" t="s">
        <v>105</v>
      </c>
      <c r="D5" s="8">
        <v>404</v>
      </c>
      <c r="E5" s="8" t="str">
        <f t="shared" si="0"/>
        <v>tenant:RCH;application-profile:rch_domain_app;epg:vlan404_epg;encap:404</v>
      </c>
      <c r="F5" t="str">
        <f t="shared" si="1"/>
        <v>category:network;subCategory:bridgeDomainLink;bridge-domain:vlan404_bd;l3out:border_bgp_pod1_l3out
category:network;subCategory:bridgeDomainLink;bridge-domain:vlan404_bd;l3out:border_bgp_pod2_l3out
category:network;subCategory:bridgeDomainLink;bridge-domain:vlan404_bd;l3out:border_eigrp_pod1_l3out
category:network;subCategory:bridgeDomainLink;bridge-domain:vlan404_bd;l3out:border_eigrp_pod2_l3out
category:network;subCategory:bridgeDomainLink;bridge-domain:vlan404_bd;l3out:distribution_ospf_pod1_l3out
category:network;subCategory:bridgeDomainLink;bridge-domain:vlan404_bd;l3out:distribution_ospf_pod2_l3out
category:network;subCategory:bridgeDomainLink;bridge-domain:vlan404_bd;l3out:utility_eigrp_pod1_l3out
category:network;subCategory:bridgeDomainLink;bridge-domain:vlan404_bd;l3out:utility_eigrp_pod2_l3out</v>
      </c>
    </row>
    <row r="6" spans="1:6" x14ac:dyDescent="0.25">
      <c r="A6" s="8" t="s">
        <v>99</v>
      </c>
      <c r="B6" s="8" t="s">
        <v>96</v>
      </c>
      <c r="C6" s="2" t="s">
        <v>106</v>
      </c>
      <c r="D6" s="8">
        <v>405</v>
      </c>
      <c r="E6" s="8" t="str">
        <f t="shared" si="0"/>
        <v>tenant:RCH;application-profile:rch_domain_app;epg:vlan405_epg;encap:405</v>
      </c>
      <c r="F6" t="str">
        <f t="shared" si="1"/>
        <v>category:network;subCategory:bridgeDomainLink;bridge-domain:vlan405_bd;l3out:border_bgp_pod1_l3out
category:network;subCategory:bridgeDomainLink;bridge-domain:vlan405_bd;l3out:border_bgp_pod2_l3out
category:network;subCategory:bridgeDomainLink;bridge-domain:vlan405_bd;l3out:border_eigrp_pod1_l3out
category:network;subCategory:bridgeDomainLink;bridge-domain:vlan405_bd;l3out:border_eigrp_pod2_l3out
category:network;subCategory:bridgeDomainLink;bridge-domain:vlan405_bd;l3out:distribution_ospf_pod1_l3out
category:network;subCategory:bridgeDomainLink;bridge-domain:vlan405_bd;l3out:distribution_ospf_pod2_l3out
category:network;subCategory:bridgeDomainLink;bridge-domain:vlan405_bd;l3out:utility_eigrp_pod1_l3out
category:network;subCategory:bridgeDomainLink;bridge-domain:vlan405_bd;l3out:utility_eigrp_pod2_l3out</v>
      </c>
    </row>
    <row r="7" spans="1:6" x14ac:dyDescent="0.25">
      <c r="A7" s="8" t="s">
        <v>99</v>
      </c>
      <c r="B7" s="8" t="s">
        <v>96</v>
      </c>
      <c r="C7" s="2" t="s">
        <v>133</v>
      </c>
      <c r="D7" s="8">
        <v>406</v>
      </c>
      <c r="E7" s="8" t="str">
        <f t="shared" si="0"/>
        <v>tenant:RCH;application-profile:rch_domain_app;epg:vlan406_epg;encap:406</v>
      </c>
      <c r="F7" t="str">
        <f t="shared" si="1"/>
        <v>category:network;subCategory:bridgeDomainLink;bridge-domain:vlan406_bd;l3out:border_bgp_pod1_l3out
category:network;subCategory:bridgeDomainLink;bridge-domain:vlan406_bd;l3out:border_bgp_pod2_l3out
category:network;subCategory:bridgeDomainLink;bridge-domain:vlan406_bd;l3out:border_eigrp_pod1_l3out
category:network;subCategory:bridgeDomainLink;bridge-domain:vlan406_bd;l3out:border_eigrp_pod2_l3out
category:network;subCategory:bridgeDomainLink;bridge-domain:vlan406_bd;l3out:distribution_ospf_pod1_l3out
category:network;subCategory:bridgeDomainLink;bridge-domain:vlan406_bd;l3out:distribution_ospf_pod2_l3out
category:network;subCategory:bridgeDomainLink;bridge-domain:vlan406_bd;l3out:utility_eigrp_pod1_l3out
category:network;subCategory:bridgeDomainLink;bridge-domain:vlan406_bd;l3out:utility_eigrp_pod2_l3out</v>
      </c>
    </row>
    <row r="8" spans="1:6" x14ac:dyDescent="0.25">
      <c r="A8" s="8" t="s">
        <v>99</v>
      </c>
      <c r="B8" s="8" t="s">
        <v>96</v>
      </c>
      <c r="C8" s="2" t="s">
        <v>134</v>
      </c>
      <c r="D8" s="8">
        <v>407</v>
      </c>
      <c r="E8" s="8" t="str">
        <f t="shared" si="0"/>
        <v>tenant:RCH;application-profile:rch_domain_app;epg:vlan407_epg;encap:407</v>
      </c>
      <c r="F8" t="str">
        <f t="shared" si="1"/>
        <v>category:network;subCategory:bridgeDomainLink;bridge-domain:vlan407_bd;l3out:border_bgp_pod1_l3out
category:network;subCategory:bridgeDomainLink;bridge-domain:vlan407_bd;l3out:border_bgp_pod2_l3out
category:network;subCategory:bridgeDomainLink;bridge-domain:vlan407_bd;l3out:border_eigrp_pod1_l3out
category:network;subCategory:bridgeDomainLink;bridge-domain:vlan407_bd;l3out:border_eigrp_pod2_l3out
category:network;subCategory:bridgeDomainLink;bridge-domain:vlan407_bd;l3out:distribution_ospf_pod1_l3out
category:network;subCategory:bridgeDomainLink;bridge-domain:vlan407_bd;l3out:distribution_ospf_pod2_l3out
category:network;subCategory:bridgeDomainLink;bridge-domain:vlan407_bd;l3out:utility_eigrp_pod1_l3out
category:network;subCategory:bridgeDomainLink;bridge-domain:vlan407_bd;l3out:utility_eigrp_pod2_l3out</v>
      </c>
    </row>
    <row r="9" spans="1:6" x14ac:dyDescent="0.25">
      <c r="A9" s="8" t="s">
        <v>99</v>
      </c>
      <c r="B9" s="8" t="s">
        <v>96</v>
      </c>
      <c r="C9" s="2" t="s">
        <v>135</v>
      </c>
      <c r="D9" s="8">
        <v>408</v>
      </c>
      <c r="E9" s="8" t="str">
        <f t="shared" si="0"/>
        <v>tenant:RCH;application-profile:rch_domain_app;epg:vlan408_epg;encap:408</v>
      </c>
      <c r="F9" t="str">
        <f t="shared" si="1"/>
        <v>category:network;subCategory:bridgeDomainLink;bridge-domain:vlan408_bd;l3out:border_bgp_pod1_l3out
category:network;subCategory:bridgeDomainLink;bridge-domain:vlan408_bd;l3out:border_bgp_pod2_l3out
category:network;subCategory:bridgeDomainLink;bridge-domain:vlan408_bd;l3out:border_eigrp_pod1_l3out
category:network;subCategory:bridgeDomainLink;bridge-domain:vlan408_bd;l3out:border_eigrp_pod2_l3out
category:network;subCategory:bridgeDomainLink;bridge-domain:vlan408_bd;l3out:distribution_ospf_pod1_l3out
category:network;subCategory:bridgeDomainLink;bridge-domain:vlan408_bd;l3out:distribution_ospf_pod2_l3out
category:network;subCategory:bridgeDomainLink;bridge-domain:vlan408_bd;l3out:utility_eigrp_pod1_l3out
category:network;subCategory:bridgeDomainLink;bridge-domain:vlan408_bd;l3out:utility_eigrp_pod2_l3out</v>
      </c>
    </row>
    <row r="10" spans="1:6" x14ac:dyDescent="0.25">
      <c r="A10" s="8" t="s">
        <v>99</v>
      </c>
      <c r="B10" s="8" t="s">
        <v>96</v>
      </c>
      <c r="C10" s="2" t="s">
        <v>136</v>
      </c>
      <c r="D10" s="8">
        <v>409</v>
      </c>
      <c r="E10" s="8" t="str">
        <f t="shared" si="0"/>
        <v>tenant:RCH;application-profile:rch_domain_app;epg:vlan409_epg;encap:409</v>
      </c>
      <c r="F10" t="str">
        <f t="shared" si="1"/>
        <v>category:network;subCategory:bridgeDomainLink;bridge-domain:vlan409_bd;l3out:border_bgp_pod1_l3out
category:network;subCategory:bridgeDomainLink;bridge-domain:vlan409_bd;l3out:border_bgp_pod2_l3out
category:network;subCategory:bridgeDomainLink;bridge-domain:vlan409_bd;l3out:border_eigrp_pod1_l3out
category:network;subCategory:bridgeDomainLink;bridge-domain:vlan409_bd;l3out:border_eigrp_pod2_l3out
category:network;subCategory:bridgeDomainLink;bridge-domain:vlan409_bd;l3out:distribution_ospf_pod1_l3out
category:network;subCategory:bridgeDomainLink;bridge-domain:vlan409_bd;l3out:distribution_ospf_pod2_l3out
category:network;subCategory:bridgeDomainLink;bridge-domain:vlan409_bd;l3out:utility_eigrp_pod1_l3out
category:network;subCategory:bridgeDomainLink;bridge-domain:vlan409_bd;l3out:utility_eigrp_pod2_l3out</v>
      </c>
    </row>
    <row r="11" spans="1:6" x14ac:dyDescent="0.25">
      <c r="A11" s="8" t="s">
        <v>99</v>
      </c>
      <c r="B11" s="8" t="s">
        <v>96</v>
      </c>
      <c r="C11" s="2" t="s">
        <v>137</v>
      </c>
      <c r="D11" s="8">
        <v>410</v>
      </c>
      <c r="E11" s="8" t="str">
        <f t="shared" si="0"/>
        <v>tenant:RCH;application-profile:rch_domain_app;epg:vlan410_epg;encap:410</v>
      </c>
      <c r="F11" t="str">
        <f t="shared" si="1"/>
        <v>category:network;subCategory:bridgeDomainLink;bridge-domain:vlan410_bd;l3out:border_bgp_pod1_l3out
category:network;subCategory:bridgeDomainLink;bridge-domain:vlan410_bd;l3out:border_bgp_pod2_l3out
category:network;subCategory:bridgeDomainLink;bridge-domain:vlan410_bd;l3out:border_eigrp_pod1_l3out
category:network;subCategory:bridgeDomainLink;bridge-domain:vlan410_bd;l3out:border_eigrp_pod2_l3out
category:network;subCategory:bridgeDomainLink;bridge-domain:vlan410_bd;l3out:distribution_ospf_pod1_l3out
category:network;subCategory:bridgeDomainLink;bridge-domain:vlan410_bd;l3out:distribution_ospf_pod2_l3out
category:network;subCategory:bridgeDomainLink;bridge-domain:vlan410_bd;l3out:utility_eigrp_pod1_l3out
category:network;subCategory:bridgeDomainLink;bridge-domain:vlan410_bd;l3out:utility_eigrp_pod2_l3out</v>
      </c>
    </row>
    <row r="12" spans="1:6" x14ac:dyDescent="0.25">
      <c r="A12" s="8" t="s">
        <v>99</v>
      </c>
      <c r="B12" s="8" t="s">
        <v>96</v>
      </c>
      <c r="C12" s="2" t="s">
        <v>138</v>
      </c>
      <c r="D12" s="8">
        <v>411</v>
      </c>
      <c r="E12" s="8" t="str">
        <f t="shared" si="0"/>
        <v>tenant:RCH;application-profile:rch_domain_app;epg:vlan411_epg;encap:411</v>
      </c>
      <c r="F12" t="str">
        <f t="shared" si="1"/>
        <v>category:network;subCategory:bridgeDomainLink;bridge-domain:vlan411_bd;l3out:border_bgp_pod1_l3out
category:network;subCategory:bridgeDomainLink;bridge-domain:vlan411_bd;l3out:border_bgp_pod2_l3out
category:network;subCategory:bridgeDomainLink;bridge-domain:vlan411_bd;l3out:border_eigrp_pod1_l3out
category:network;subCategory:bridgeDomainLink;bridge-domain:vlan411_bd;l3out:border_eigrp_pod2_l3out
category:network;subCategory:bridgeDomainLink;bridge-domain:vlan411_bd;l3out:distribution_ospf_pod1_l3out
category:network;subCategory:bridgeDomainLink;bridge-domain:vlan411_bd;l3out:distribution_ospf_pod2_l3out
category:network;subCategory:bridgeDomainLink;bridge-domain:vlan411_bd;l3out:utility_eigrp_pod1_l3out
category:network;subCategory:bridgeDomainLink;bridge-domain:vlan411_bd;l3out:utility_eigrp_pod2_l3out</v>
      </c>
    </row>
    <row r="13" spans="1:6" x14ac:dyDescent="0.25">
      <c r="A13" s="8" t="s">
        <v>99</v>
      </c>
      <c r="B13" s="8" t="s">
        <v>96</v>
      </c>
      <c r="C13" s="2" t="s">
        <v>139</v>
      </c>
      <c r="D13" s="8">
        <v>412</v>
      </c>
      <c r="E13" s="8" t="str">
        <f t="shared" si="0"/>
        <v>tenant:RCH;application-profile:rch_domain_app;epg:vlan412_epg;encap:412</v>
      </c>
      <c r="F13" t="str">
        <f t="shared" si="1"/>
        <v>category:network;subCategory:bridgeDomainLink;bridge-domain:vlan412_bd;l3out:border_bgp_pod1_l3out
category:network;subCategory:bridgeDomainLink;bridge-domain:vlan412_bd;l3out:border_bgp_pod2_l3out
category:network;subCategory:bridgeDomainLink;bridge-domain:vlan412_bd;l3out:border_eigrp_pod1_l3out
category:network;subCategory:bridgeDomainLink;bridge-domain:vlan412_bd;l3out:border_eigrp_pod2_l3out
category:network;subCategory:bridgeDomainLink;bridge-domain:vlan412_bd;l3out:distribution_ospf_pod1_l3out
category:network;subCategory:bridgeDomainLink;bridge-domain:vlan412_bd;l3out:distribution_ospf_pod2_l3out
category:network;subCategory:bridgeDomainLink;bridge-domain:vlan412_bd;l3out:utility_eigrp_pod1_l3out
category:network;subCategory:bridgeDomainLink;bridge-domain:vlan412_bd;l3out:utility_eigrp_pod2_l3out</v>
      </c>
    </row>
    <row r="14" spans="1:6" x14ac:dyDescent="0.25">
      <c r="A14" s="8" t="s">
        <v>99</v>
      </c>
      <c r="B14" s="8" t="s">
        <v>96</v>
      </c>
      <c r="C14" s="2" t="s">
        <v>140</v>
      </c>
      <c r="D14" s="8">
        <v>413</v>
      </c>
      <c r="E14" s="8" t="str">
        <f t="shared" si="0"/>
        <v>tenant:RCH;application-profile:rch_domain_app;epg:vlan413_epg;encap:413</v>
      </c>
      <c r="F14" t="str">
        <f t="shared" si="1"/>
        <v>category:network;subCategory:bridgeDomainLink;bridge-domain:vlan413_bd;l3out:border_bgp_pod1_l3out
category:network;subCategory:bridgeDomainLink;bridge-domain:vlan413_bd;l3out:border_bgp_pod2_l3out
category:network;subCategory:bridgeDomainLink;bridge-domain:vlan413_bd;l3out:border_eigrp_pod1_l3out
category:network;subCategory:bridgeDomainLink;bridge-domain:vlan413_bd;l3out:border_eigrp_pod2_l3out
category:network;subCategory:bridgeDomainLink;bridge-domain:vlan413_bd;l3out:distribution_ospf_pod1_l3out
category:network;subCategory:bridgeDomainLink;bridge-domain:vlan413_bd;l3out:distribution_ospf_pod2_l3out
category:network;subCategory:bridgeDomainLink;bridge-domain:vlan413_bd;l3out:utility_eigrp_pod1_l3out
category:network;subCategory:bridgeDomainLink;bridge-domain:vlan413_bd;l3out:utility_eigrp_pod2_l3out</v>
      </c>
    </row>
    <row r="15" spans="1:6" x14ac:dyDescent="0.25">
      <c r="A15" s="8" t="s">
        <v>99</v>
      </c>
      <c r="B15" s="8" t="s">
        <v>96</v>
      </c>
      <c r="C15" s="2" t="s">
        <v>141</v>
      </c>
      <c r="D15" s="8">
        <v>414</v>
      </c>
      <c r="E15" s="8" t="str">
        <f t="shared" si="0"/>
        <v>tenant:RCH;application-profile:rch_domain_app;epg:vlan414_epg;encap:414</v>
      </c>
      <c r="F15" t="str">
        <f t="shared" si="1"/>
        <v>category:network;subCategory:bridgeDomainLink;bridge-domain:vlan414_bd;l3out:border_bgp_pod1_l3out
category:network;subCategory:bridgeDomainLink;bridge-domain:vlan414_bd;l3out:border_bgp_pod2_l3out
category:network;subCategory:bridgeDomainLink;bridge-domain:vlan414_bd;l3out:border_eigrp_pod1_l3out
category:network;subCategory:bridgeDomainLink;bridge-domain:vlan414_bd;l3out:border_eigrp_pod2_l3out
category:network;subCategory:bridgeDomainLink;bridge-domain:vlan414_bd;l3out:distribution_ospf_pod1_l3out
category:network;subCategory:bridgeDomainLink;bridge-domain:vlan414_bd;l3out:distribution_ospf_pod2_l3out
category:network;subCategory:bridgeDomainLink;bridge-domain:vlan414_bd;l3out:utility_eigrp_pod1_l3out
category:network;subCategory:bridgeDomainLink;bridge-domain:vlan414_bd;l3out:utility_eigrp_pod2_l3out</v>
      </c>
    </row>
    <row r="16" spans="1:6" x14ac:dyDescent="0.25">
      <c r="A16" s="8" t="s">
        <v>99</v>
      </c>
      <c r="B16" s="8" t="s">
        <v>96</v>
      </c>
      <c r="C16" s="2" t="s">
        <v>142</v>
      </c>
      <c r="D16" s="8">
        <v>415</v>
      </c>
      <c r="E16" s="8" t="str">
        <f t="shared" si="0"/>
        <v>tenant:RCH;application-profile:rch_domain_app;epg:vlan415_epg;encap:415</v>
      </c>
      <c r="F16" t="str">
        <f t="shared" si="1"/>
        <v>category:network;subCategory:bridgeDomainLink;bridge-domain:vlan415_bd;l3out:border_bgp_pod1_l3out
category:network;subCategory:bridgeDomainLink;bridge-domain:vlan415_bd;l3out:border_bgp_pod2_l3out
category:network;subCategory:bridgeDomainLink;bridge-domain:vlan415_bd;l3out:border_eigrp_pod1_l3out
category:network;subCategory:bridgeDomainLink;bridge-domain:vlan415_bd;l3out:border_eigrp_pod2_l3out
category:network;subCategory:bridgeDomainLink;bridge-domain:vlan415_bd;l3out:distribution_ospf_pod1_l3out
category:network;subCategory:bridgeDomainLink;bridge-domain:vlan415_bd;l3out:distribution_ospf_pod2_l3out
category:network;subCategory:bridgeDomainLink;bridge-domain:vlan415_bd;l3out:utility_eigrp_pod1_l3out
category:network;subCategory:bridgeDomainLink;bridge-domain:vlan415_bd;l3out:utility_eigrp_pod2_l3out</v>
      </c>
    </row>
    <row r="17" spans="1:6" x14ac:dyDescent="0.25">
      <c r="A17" s="8" t="s">
        <v>99</v>
      </c>
      <c r="B17" s="8" t="s">
        <v>96</v>
      </c>
      <c r="C17" s="2" t="s">
        <v>143</v>
      </c>
      <c r="D17" s="8">
        <v>416</v>
      </c>
      <c r="E17" s="8" t="str">
        <f t="shared" si="0"/>
        <v>tenant:RCH;application-profile:rch_domain_app;epg:vlan416_epg;encap:416</v>
      </c>
      <c r="F17" t="str">
        <f t="shared" si="1"/>
        <v>category:network;subCategory:bridgeDomainLink;bridge-domain:vlan416_bd;l3out:border_bgp_pod1_l3out
category:network;subCategory:bridgeDomainLink;bridge-domain:vlan416_bd;l3out:border_bgp_pod2_l3out
category:network;subCategory:bridgeDomainLink;bridge-domain:vlan416_bd;l3out:border_eigrp_pod1_l3out
category:network;subCategory:bridgeDomainLink;bridge-domain:vlan416_bd;l3out:border_eigrp_pod2_l3out
category:network;subCategory:bridgeDomainLink;bridge-domain:vlan416_bd;l3out:distribution_ospf_pod1_l3out
category:network;subCategory:bridgeDomainLink;bridge-domain:vlan416_bd;l3out:distribution_ospf_pod2_l3out
category:network;subCategory:bridgeDomainLink;bridge-domain:vlan416_bd;l3out:utility_eigrp_pod1_l3out
category:network;subCategory:bridgeDomainLink;bridge-domain:vlan416_bd;l3out:utility_eigrp_pod2_l3out</v>
      </c>
    </row>
    <row r="18" spans="1:6" x14ac:dyDescent="0.25">
      <c r="A18" s="8" t="s">
        <v>99</v>
      </c>
      <c r="B18" s="8" t="s">
        <v>96</v>
      </c>
      <c r="C18" s="2" t="s">
        <v>144</v>
      </c>
      <c r="D18" s="8">
        <v>417</v>
      </c>
      <c r="E18" s="8" t="str">
        <f t="shared" si="0"/>
        <v>tenant:RCH;application-profile:rch_domain_app;epg:vlan417_epg;encap:417</v>
      </c>
      <c r="F18" t="str">
        <f t="shared" si="1"/>
        <v>category:network;subCategory:bridgeDomainLink;bridge-domain:vlan417_bd;l3out:border_bgp_pod1_l3out
category:network;subCategory:bridgeDomainLink;bridge-domain:vlan417_bd;l3out:border_bgp_pod2_l3out
category:network;subCategory:bridgeDomainLink;bridge-domain:vlan417_bd;l3out:border_eigrp_pod1_l3out
category:network;subCategory:bridgeDomainLink;bridge-domain:vlan417_bd;l3out:border_eigrp_pod2_l3out
category:network;subCategory:bridgeDomainLink;bridge-domain:vlan417_bd;l3out:distribution_ospf_pod1_l3out
category:network;subCategory:bridgeDomainLink;bridge-domain:vlan417_bd;l3out:distribution_ospf_pod2_l3out
category:network;subCategory:bridgeDomainLink;bridge-domain:vlan417_bd;l3out:utility_eigrp_pod1_l3out
category:network;subCategory:bridgeDomainLink;bridge-domain:vlan417_bd;l3out:utility_eigrp_pod2_l3out</v>
      </c>
    </row>
    <row r="19" spans="1:6" x14ac:dyDescent="0.25">
      <c r="A19" s="8" t="s">
        <v>99</v>
      </c>
      <c r="B19" s="8" t="s">
        <v>96</v>
      </c>
      <c r="C19" s="2" t="s">
        <v>145</v>
      </c>
      <c r="D19" s="8">
        <v>418</v>
      </c>
      <c r="E19" s="8" t="str">
        <f t="shared" si="0"/>
        <v>tenant:RCH;application-profile:rch_domain_app;epg:vlan418_epg;encap:418</v>
      </c>
      <c r="F19" t="str">
        <f t="shared" si="1"/>
        <v>category:network;subCategory:bridgeDomainLink;bridge-domain:vlan418_bd;l3out:border_bgp_pod1_l3out
category:network;subCategory:bridgeDomainLink;bridge-domain:vlan418_bd;l3out:border_bgp_pod2_l3out
category:network;subCategory:bridgeDomainLink;bridge-domain:vlan418_bd;l3out:border_eigrp_pod1_l3out
category:network;subCategory:bridgeDomainLink;bridge-domain:vlan418_bd;l3out:border_eigrp_pod2_l3out
category:network;subCategory:bridgeDomainLink;bridge-domain:vlan418_bd;l3out:distribution_ospf_pod1_l3out
category:network;subCategory:bridgeDomainLink;bridge-domain:vlan418_bd;l3out:distribution_ospf_pod2_l3out
category:network;subCategory:bridgeDomainLink;bridge-domain:vlan418_bd;l3out:utility_eigrp_pod1_l3out
category:network;subCategory:bridgeDomainLink;bridge-domain:vlan418_bd;l3out:utility_eigrp_pod2_l3out</v>
      </c>
    </row>
    <row r="20" spans="1:6" x14ac:dyDescent="0.25">
      <c r="A20" s="8" t="s">
        <v>99</v>
      </c>
      <c r="B20" s="8" t="s">
        <v>96</v>
      </c>
      <c r="C20" s="2" t="s">
        <v>146</v>
      </c>
      <c r="D20" s="8">
        <v>419</v>
      </c>
      <c r="E20" s="8" t="str">
        <f t="shared" si="0"/>
        <v>tenant:RCH;application-profile:rch_domain_app;epg:vlan419_epg;encap:419</v>
      </c>
      <c r="F20" t="str">
        <f t="shared" si="1"/>
        <v>category:network;subCategory:bridgeDomainLink;bridge-domain:vlan419_bd;l3out:border_bgp_pod1_l3out
category:network;subCategory:bridgeDomainLink;bridge-domain:vlan419_bd;l3out:border_bgp_pod2_l3out
category:network;subCategory:bridgeDomainLink;bridge-domain:vlan419_bd;l3out:border_eigrp_pod1_l3out
category:network;subCategory:bridgeDomainLink;bridge-domain:vlan419_bd;l3out:border_eigrp_pod2_l3out
category:network;subCategory:bridgeDomainLink;bridge-domain:vlan419_bd;l3out:distribution_ospf_pod1_l3out
category:network;subCategory:bridgeDomainLink;bridge-domain:vlan419_bd;l3out:distribution_ospf_pod2_l3out
category:network;subCategory:bridgeDomainLink;bridge-domain:vlan419_bd;l3out:utility_eigrp_pod1_l3out
category:network;subCategory:bridgeDomainLink;bridge-domain:vlan419_bd;l3out:utility_eigrp_pod2_l3out</v>
      </c>
    </row>
    <row r="21" spans="1:6" x14ac:dyDescent="0.25">
      <c r="A21" s="8" t="s">
        <v>99</v>
      </c>
      <c r="B21" s="8" t="s">
        <v>96</v>
      </c>
      <c r="C21" s="2" t="s">
        <v>147</v>
      </c>
      <c r="D21" s="8">
        <v>420</v>
      </c>
      <c r="E21" s="8" t="str">
        <f t="shared" si="0"/>
        <v>tenant:RCH;application-profile:rch_domain_app;epg:vlan420_epg;encap:420</v>
      </c>
      <c r="F21" t="str">
        <f t="shared" si="1"/>
        <v>category:network;subCategory:bridgeDomainLink;bridge-domain:vlan420_bd;l3out:border_bgp_pod1_l3out
category:network;subCategory:bridgeDomainLink;bridge-domain:vlan420_bd;l3out:border_bgp_pod2_l3out
category:network;subCategory:bridgeDomainLink;bridge-domain:vlan420_bd;l3out:border_eigrp_pod1_l3out
category:network;subCategory:bridgeDomainLink;bridge-domain:vlan420_bd;l3out:border_eigrp_pod2_l3out
category:network;subCategory:bridgeDomainLink;bridge-domain:vlan420_bd;l3out:distribution_ospf_pod1_l3out
category:network;subCategory:bridgeDomainLink;bridge-domain:vlan420_bd;l3out:distribution_ospf_pod2_l3out
category:network;subCategory:bridgeDomainLink;bridge-domain:vlan420_bd;l3out:utility_eigrp_pod1_l3out
category:network;subCategory:bridgeDomainLink;bridge-domain:vlan420_bd;l3out:utility_eigrp_pod2_l3out</v>
      </c>
    </row>
    <row r="22" spans="1:6" x14ac:dyDescent="0.25">
      <c r="A22" s="8" t="s">
        <v>99</v>
      </c>
      <c r="B22" s="8" t="s">
        <v>96</v>
      </c>
      <c r="C22" s="2" t="s">
        <v>148</v>
      </c>
      <c r="D22" s="8">
        <v>421</v>
      </c>
      <c r="E22" s="8" t="str">
        <f t="shared" si="0"/>
        <v>tenant:RCH;application-profile:rch_domain_app;epg:vlan421_epg;encap:421</v>
      </c>
      <c r="F22" t="str">
        <f t="shared" si="1"/>
        <v>category:network;subCategory:bridgeDomainLink;bridge-domain:vlan421_bd;l3out:border_bgp_pod1_l3out
category:network;subCategory:bridgeDomainLink;bridge-domain:vlan421_bd;l3out:border_bgp_pod2_l3out
category:network;subCategory:bridgeDomainLink;bridge-domain:vlan421_bd;l3out:border_eigrp_pod1_l3out
category:network;subCategory:bridgeDomainLink;bridge-domain:vlan421_bd;l3out:border_eigrp_pod2_l3out
category:network;subCategory:bridgeDomainLink;bridge-domain:vlan421_bd;l3out:distribution_ospf_pod1_l3out
category:network;subCategory:bridgeDomainLink;bridge-domain:vlan421_bd;l3out:distribution_ospf_pod2_l3out
category:network;subCategory:bridgeDomainLink;bridge-domain:vlan421_bd;l3out:utility_eigrp_pod1_l3out
category:network;subCategory:bridgeDomainLink;bridge-domain:vlan421_bd;l3out:utility_eigrp_pod2_l3out</v>
      </c>
    </row>
    <row r="23" spans="1:6" x14ac:dyDescent="0.25">
      <c r="A23" s="8" t="s">
        <v>99</v>
      </c>
      <c r="B23" s="8" t="s">
        <v>96</v>
      </c>
      <c r="C23" s="2" t="s">
        <v>149</v>
      </c>
      <c r="D23" s="8">
        <v>422</v>
      </c>
      <c r="E23" s="8" t="str">
        <f t="shared" si="0"/>
        <v>tenant:RCH;application-profile:rch_domain_app;epg:vlan422_epg;encap:422</v>
      </c>
      <c r="F23" t="str">
        <f t="shared" si="1"/>
        <v>category:network;subCategory:bridgeDomainLink;bridge-domain:vlan422_bd;l3out:border_bgp_pod1_l3out
category:network;subCategory:bridgeDomainLink;bridge-domain:vlan422_bd;l3out:border_bgp_pod2_l3out
category:network;subCategory:bridgeDomainLink;bridge-domain:vlan422_bd;l3out:border_eigrp_pod1_l3out
category:network;subCategory:bridgeDomainLink;bridge-domain:vlan422_bd;l3out:border_eigrp_pod2_l3out
category:network;subCategory:bridgeDomainLink;bridge-domain:vlan422_bd;l3out:distribution_ospf_pod1_l3out
category:network;subCategory:bridgeDomainLink;bridge-domain:vlan422_bd;l3out:distribution_ospf_pod2_l3out
category:network;subCategory:bridgeDomainLink;bridge-domain:vlan422_bd;l3out:utility_eigrp_pod1_l3out
category:network;subCategory:bridgeDomainLink;bridge-domain:vlan422_bd;l3out:utility_eigrp_pod2_l3out</v>
      </c>
    </row>
    <row r="24" spans="1:6" x14ac:dyDescent="0.25">
      <c r="A24" s="8" t="s">
        <v>99</v>
      </c>
      <c r="B24" s="8" t="s">
        <v>96</v>
      </c>
      <c r="C24" s="2" t="s">
        <v>150</v>
      </c>
      <c r="D24" s="8">
        <v>497</v>
      </c>
      <c r="E24" s="8" t="str">
        <f t="shared" si="0"/>
        <v>tenant:RCH;application-profile:rch_domain_app;epg:vlan497_epg;encap:497</v>
      </c>
      <c r="F24" t="str">
        <f t="shared" si="1"/>
        <v>category:network;subCategory:bridgeDomainLink;bridge-domain:vlan497_bd;l3out:border_bgp_pod1_l3out
category:network;subCategory:bridgeDomainLink;bridge-domain:vlan497_bd;l3out:border_bgp_pod2_l3out
category:network;subCategory:bridgeDomainLink;bridge-domain:vlan497_bd;l3out:border_eigrp_pod1_l3out
category:network;subCategory:bridgeDomainLink;bridge-domain:vlan497_bd;l3out:border_eigrp_pod2_l3out
category:network;subCategory:bridgeDomainLink;bridge-domain:vlan497_bd;l3out:distribution_ospf_pod1_l3out
category:network;subCategory:bridgeDomainLink;bridge-domain:vlan497_bd;l3out:distribution_ospf_pod2_l3out
category:network;subCategory:bridgeDomainLink;bridge-domain:vlan497_bd;l3out:utility_eigrp_pod1_l3out
category:network;subCategory:bridgeDomainLink;bridge-domain:vlan497_bd;l3out:utility_eigrp_pod2_l3out</v>
      </c>
    </row>
    <row r="25" spans="1:6" x14ac:dyDescent="0.25">
      <c r="A25" s="8" t="s">
        <v>99</v>
      </c>
      <c r="B25" s="8" t="s">
        <v>96</v>
      </c>
      <c r="C25" s="2" t="s">
        <v>151</v>
      </c>
      <c r="D25" s="8">
        <v>501</v>
      </c>
      <c r="E25" s="8" t="str">
        <f t="shared" si="0"/>
        <v>tenant:RCH;application-profile:rch_domain_app;epg:vlan501_epg;encap:501</v>
      </c>
      <c r="F25" t="str">
        <f t="shared" si="1"/>
        <v>category:network;subCategory:bridgeDomainLink;bridge-domain:vlan501_bd;l3out:border_bgp_pod1_l3out
category:network;subCategory:bridgeDomainLink;bridge-domain:vlan501_bd;l3out:border_bgp_pod2_l3out
category:network;subCategory:bridgeDomainLink;bridge-domain:vlan501_bd;l3out:border_eigrp_pod1_l3out
category:network;subCategory:bridgeDomainLink;bridge-domain:vlan501_bd;l3out:border_eigrp_pod2_l3out
category:network;subCategory:bridgeDomainLink;bridge-domain:vlan501_bd;l3out:distribution_ospf_pod1_l3out
category:network;subCategory:bridgeDomainLink;bridge-domain:vlan501_bd;l3out:distribution_ospf_pod2_l3out
category:network;subCategory:bridgeDomainLink;bridge-domain:vlan501_bd;l3out:utility_eigrp_pod1_l3out
category:network;subCategory:bridgeDomainLink;bridge-domain:vlan501_bd;l3out:utility_eigrp_pod2_l3out</v>
      </c>
    </row>
    <row r="26" spans="1:6" x14ac:dyDescent="0.25">
      <c r="A26" s="8" t="s">
        <v>99</v>
      </c>
      <c r="B26" s="8" t="s">
        <v>96</v>
      </c>
      <c r="C26" s="2" t="s">
        <v>152</v>
      </c>
      <c r="D26" s="8">
        <v>502</v>
      </c>
      <c r="E26" s="8" t="str">
        <f t="shared" si="0"/>
        <v>tenant:RCH;application-profile:rch_domain_app;epg:vlan502_epg;encap:502</v>
      </c>
      <c r="F26" t="str">
        <f t="shared" si="1"/>
        <v>category:network;subCategory:bridgeDomainLink;bridge-domain:vlan502_bd;l3out:border_bgp_pod1_l3out
category:network;subCategory:bridgeDomainLink;bridge-domain:vlan502_bd;l3out:border_bgp_pod2_l3out
category:network;subCategory:bridgeDomainLink;bridge-domain:vlan502_bd;l3out:border_eigrp_pod1_l3out
category:network;subCategory:bridgeDomainLink;bridge-domain:vlan502_bd;l3out:border_eigrp_pod2_l3out
category:network;subCategory:bridgeDomainLink;bridge-domain:vlan502_bd;l3out:distribution_ospf_pod1_l3out
category:network;subCategory:bridgeDomainLink;bridge-domain:vlan502_bd;l3out:distribution_ospf_pod2_l3out
category:network;subCategory:bridgeDomainLink;bridge-domain:vlan502_bd;l3out:utility_eigrp_pod1_l3out
category:network;subCategory:bridgeDomainLink;bridge-domain:vlan502_bd;l3out:utility_eigrp_pod2_l3out</v>
      </c>
    </row>
    <row r="27" spans="1:6" x14ac:dyDescent="0.25">
      <c r="A27" s="8" t="s">
        <v>99</v>
      </c>
      <c r="B27" s="8" t="s">
        <v>96</v>
      </c>
      <c r="C27" s="2" t="s">
        <v>153</v>
      </c>
      <c r="D27" s="8">
        <v>503</v>
      </c>
      <c r="E27" s="8" t="str">
        <f t="shared" si="0"/>
        <v>tenant:RCH;application-profile:rch_domain_app;epg:vlan503_epg;encap:503</v>
      </c>
      <c r="F27" t="str">
        <f t="shared" si="1"/>
        <v>category:network;subCategory:bridgeDomainLink;bridge-domain:vlan503_bd;l3out:border_bgp_pod1_l3out
category:network;subCategory:bridgeDomainLink;bridge-domain:vlan503_bd;l3out:border_bgp_pod2_l3out
category:network;subCategory:bridgeDomainLink;bridge-domain:vlan503_bd;l3out:border_eigrp_pod1_l3out
category:network;subCategory:bridgeDomainLink;bridge-domain:vlan503_bd;l3out:border_eigrp_pod2_l3out
category:network;subCategory:bridgeDomainLink;bridge-domain:vlan503_bd;l3out:distribution_ospf_pod1_l3out
category:network;subCategory:bridgeDomainLink;bridge-domain:vlan503_bd;l3out:distribution_ospf_pod2_l3out
category:network;subCategory:bridgeDomainLink;bridge-domain:vlan503_bd;l3out:utility_eigrp_pod1_l3out
category:network;subCategory:bridgeDomainLink;bridge-domain:vlan503_bd;l3out:utility_eigrp_pod2_l3out</v>
      </c>
    </row>
    <row r="28" spans="1:6" x14ac:dyDescent="0.25">
      <c r="A28" s="8" t="s">
        <v>99</v>
      </c>
      <c r="B28" s="8" t="s">
        <v>96</v>
      </c>
      <c r="C28" s="2" t="s">
        <v>154</v>
      </c>
      <c r="D28" s="8">
        <v>504</v>
      </c>
      <c r="E28" s="8" t="str">
        <f t="shared" si="0"/>
        <v>tenant:RCH;application-profile:rch_domain_app;epg:vlan504_epg;encap:504</v>
      </c>
      <c r="F28" t="str">
        <f t="shared" si="1"/>
        <v>category:network;subCategory:bridgeDomainLink;bridge-domain:vlan504_bd;l3out:border_bgp_pod1_l3out
category:network;subCategory:bridgeDomainLink;bridge-domain:vlan504_bd;l3out:border_bgp_pod2_l3out
category:network;subCategory:bridgeDomainLink;bridge-domain:vlan504_bd;l3out:border_eigrp_pod1_l3out
category:network;subCategory:bridgeDomainLink;bridge-domain:vlan504_bd;l3out:border_eigrp_pod2_l3out
category:network;subCategory:bridgeDomainLink;bridge-domain:vlan504_bd;l3out:distribution_ospf_pod1_l3out
category:network;subCategory:bridgeDomainLink;bridge-domain:vlan504_bd;l3out:distribution_ospf_pod2_l3out
category:network;subCategory:bridgeDomainLink;bridge-domain:vlan504_bd;l3out:utility_eigrp_pod1_l3out
category:network;subCategory:bridgeDomainLink;bridge-domain:vlan504_bd;l3out:utility_eigrp_pod2_l3out</v>
      </c>
    </row>
    <row r="29" spans="1:6" x14ac:dyDescent="0.25">
      <c r="A29" s="8" t="s">
        <v>99</v>
      </c>
      <c r="B29" s="8" t="s">
        <v>96</v>
      </c>
      <c r="C29" s="2" t="s">
        <v>155</v>
      </c>
      <c r="D29" s="8">
        <v>505</v>
      </c>
      <c r="E29" s="8" t="str">
        <f t="shared" si="0"/>
        <v>tenant:RCH;application-profile:rch_domain_app;epg:vlan505_epg;encap:505</v>
      </c>
      <c r="F29" t="str">
        <f t="shared" si="1"/>
        <v>category:network;subCategory:bridgeDomainLink;bridge-domain:vlan505_bd;l3out:border_bgp_pod1_l3out
category:network;subCategory:bridgeDomainLink;bridge-domain:vlan505_bd;l3out:border_bgp_pod2_l3out
category:network;subCategory:bridgeDomainLink;bridge-domain:vlan505_bd;l3out:border_eigrp_pod1_l3out
category:network;subCategory:bridgeDomainLink;bridge-domain:vlan505_bd;l3out:border_eigrp_pod2_l3out
category:network;subCategory:bridgeDomainLink;bridge-domain:vlan505_bd;l3out:distribution_ospf_pod1_l3out
category:network;subCategory:bridgeDomainLink;bridge-domain:vlan505_bd;l3out:distribution_ospf_pod2_l3out
category:network;subCategory:bridgeDomainLink;bridge-domain:vlan505_bd;l3out:utility_eigrp_pod1_l3out
category:network;subCategory:bridgeDomainLink;bridge-domain:vlan505_bd;l3out:utility_eigrp_pod2_l3out</v>
      </c>
    </row>
    <row r="30" spans="1:6" x14ac:dyDescent="0.25">
      <c r="A30" s="8" t="s">
        <v>99</v>
      </c>
      <c r="B30" s="8" t="s">
        <v>96</v>
      </c>
      <c r="C30" s="2" t="s">
        <v>156</v>
      </c>
      <c r="D30" s="8">
        <v>506</v>
      </c>
      <c r="E30" s="8" t="str">
        <f t="shared" si="0"/>
        <v>tenant:RCH;application-profile:rch_domain_app;epg:vlan506_epg;encap:506</v>
      </c>
      <c r="F30" t="str">
        <f t="shared" si="1"/>
        <v>category:network;subCategory:bridgeDomainLink;bridge-domain:vlan506_bd;l3out:border_bgp_pod1_l3out
category:network;subCategory:bridgeDomainLink;bridge-domain:vlan506_bd;l3out:border_bgp_pod2_l3out
category:network;subCategory:bridgeDomainLink;bridge-domain:vlan506_bd;l3out:border_eigrp_pod1_l3out
category:network;subCategory:bridgeDomainLink;bridge-domain:vlan506_bd;l3out:border_eigrp_pod2_l3out
category:network;subCategory:bridgeDomainLink;bridge-domain:vlan506_bd;l3out:distribution_ospf_pod1_l3out
category:network;subCategory:bridgeDomainLink;bridge-domain:vlan506_bd;l3out:distribution_ospf_pod2_l3out
category:network;subCategory:bridgeDomainLink;bridge-domain:vlan506_bd;l3out:utility_eigrp_pod1_l3out
category:network;subCategory:bridgeDomainLink;bridge-domain:vlan506_bd;l3out:utility_eigrp_pod2_l3out</v>
      </c>
    </row>
    <row r="31" spans="1:6" x14ac:dyDescent="0.25">
      <c r="A31" s="8" t="s">
        <v>99</v>
      </c>
      <c r="B31" s="8" t="s">
        <v>96</v>
      </c>
      <c r="C31" s="2" t="s">
        <v>157</v>
      </c>
      <c r="D31" s="8">
        <v>507</v>
      </c>
      <c r="E31" s="8" t="str">
        <f t="shared" si="0"/>
        <v>tenant:RCH;application-profile:rch_domain_app;epg:vlan507_epg;encap:507</v>
      </c>
      <c r="F31" t="str">
        <f t="shared" si="1"/>
        <v>category:network;subCategory:bridgeDomainLink;bridge-domain:vlan507_bd;l3out:border_bgp_pod1_l3out
category:network;subCategory:bridgeDomainLink;bridge-domain:vlan507_bd;l3out:border_bgp_pod2_l3out
category:network;subCategory:bridgeDomainLink;bridge-domain:vlan507_bd;l3out:border_eigrp_pod1_l3out
category:network;subCategory:bridgeDomainLink;bridge-domain:vlan507_bd;l3out:border_eigrp_pod2_l3out
category:network;subCategory:bridgeDomainLink;bridge-domain:vlan507_bd;l3out:distribution_ospf_pod1_l3out
category:network;subCategory:bridgeDomainLink;bridge-domain:vlan507_bd;l3out:distribution_ospf_pod2_l3out
category:network;subCategory:bridgeDomainLink;bridge-domain:vlan507_bd;l3out:utility_eigrp_pod1_l3out
category:network;subCategory:bridgeDomainLink;bridge-domain:vlan507_bd;l3out:utility_eigrp_pod2_l3out</v>
      </c>
    </row>
    <row r="32" spans="1:6" x14ac:dyDescent="0.25">
      <c r="A32" s="8" t="s">
        <v>99</v>
      </c>
      <c r="B32" s="8" t="s">
        <v>96</v>
      </c>
      <c r="C32" s="2" t="s">
        <v>158</v>
      </c>
      <c r="D32" s="8">
        <v>508</v>
      </c>
      <c r="E32" s="8" t="str">
        <f t="shared" si="0"/>
        <v>tenant:RCH;application-profile:rch_domain_app;epg:vlan508_epg;encap:508</v>
      </c>
      <c r="F32" t="str">
        <f t="shared" si="1"/>
        <v>category:network;subCategory:bridgeDomainLink;bridge-domain:vlan508_bd;l3out:border_bgp_pod1_l3out
category:network;subCategory:bridgeDomainLink;bridge-domain:vlan508_bd;l3out:border_bgp_pod2_l3out
category:network;subCategory:bridgeDomainLink;bridge-domain:vlan508_bd;l3out:border_eigrp_pod1_l3out
category:network;subCategory:bridgeDomainLink;bridge-domain:vlan508_bd;l3out:border_eigrp_pod2_l3out
category:network;subCategory:bridgeDomainLink;bridge-domain:vlan508_bd;l3out:distribution_ospf_pod1_l3out
category:network;subCategory:bridgeDomainLink;bridge-domain:vlan508_bd;l3out:distribution_ospf_pod2_l3out
category:network;subCategory:bridgeDomainLink;bridge-domain:vlan508_bd;l3out:utility_eigrp_pod1_l3out
category:network;subCategory:bridgeDomainLink;bridge-domain:vlan508_bd;l3out:utility_eigrp_pod2_l3out</v>
      </c>
    </row>
    <row r="33" spans="1:6" x14ac:dyDescent="0.25">
      <c r="A33" s="8" t="s">
        <v>99</v>
      </c>
      <c r="B33" s="8" t="s">
        <v>96</v>
      </c>
      <c r="C33" s="2" t="s">
        <v>159</v>
      </c>
      <c r="D33" s="8">
        <v>509</v>
      </c>
      <c r="E33" s="8" t="str">
        <f t="shared" si="0"/>
        <v>tenant:RCH;application-profile:rch_domain_app;epg:vlan509_epg;encap:509</v>
      </c>
      <c r="F33" t="str">
        <f t="shared" si="1"/>
        <v>category:network;subCategory:bridgeDomainLink;bridge-domain:vlan509_bd;l3out:border_bgp_pod1_l3out
category:network;subCategory:bridgeDomainLink;bridge-domain:vlan509_bd;l3out:border_bgp_pod2_l3out
category:network;subCategory:bridgeDomainLink;bridge-domain:vlan509_bd;l3out:border_eigrp_pod1_l3out
category:network;subCategory:bridgeDomainLink;bridge-domain:vlan509_bd;l3out:border_eigrp_pod2_l3out
category:network;subCategory:bridgeDomainLink;bridge-domain:vlan509_bd;l3out:distribution_ospf_pod1_l3out
category:network;subCategory:bridgeDomainLink;bridge-domain:vlan509_bd;l3out:distribution_ospf_pod2_l3out
category:network;subCategory:bridgeDomainLink;bridge-domain:vlan509_bd;l3out:utility_eigrp_pod1_l3out
category:network;subCategory:bridgeDomainLink;bridge-domain:vlan509_bd;l3out:utility_eigrp_pod2_l3out</v>
      </c>
    </row>
    <row r="34" spans="1:6" x14ac:dyDescent="0.25">
      <c r="A34" s="8" t="s">
        <v>99</v>
      </c>
      <c r="B34" s="8" t="s">
        <v>96</v>
      </c>
      <c r="C34" s="2" t="s">
        <v>160</v>
      </c>
      <c r="D34" s="8">
        <v>510</v>
      </c>
      <c r="E34" s="8" t="str">
        <f t="shared" si="0"/>
        <v>tenant:RCH;application-profile:rch_domain_app;epg:vlan510_epg;encap:510</v>
      </c>
      <c r="F34" t="str">
        <f t="shared" si="1"/>
        <v>category:network;subCategory:bridgeDomainLink;bridge-domain:vlan510_bd;l3out:border_bgp_pod1_l3out
category:network;subCategory:bridgeDomainLink;bridge-domain:vlan510_bd;l3out:border_bgp_pod2_l3out
category:network;subCategory:bridgeDomainLink;bridge-domain:vlan510_bd;l3out:border_eigrp_pod1_l3out
category:network;subCategory:bridgeDomainLink;bridge-domain:vlan510_bd;l3out:border_eigrp_pod2_l3out
category:network;subCategory:bridgeDomainLink;bridge-domain:vlan510_bd;l3out:distribution_ospf_pod1_l3out
category:network;subCategory:bridgeDomainLink;bridge-domain:vlan510_bd;l3out:distribution_ospf_pod2_l3out
category:network;subCategory:bridgeDomainLink;bridge-domain:vlan510_bd;l3out:utility_eigrp_pod1_l3out
category:network;subCategory:bridgeDomainLink;bridge-domain:vlan510_bd;l3out:utility_eigrp_pod2_l3out</v>
      </c>
    </row>
    <row r="35" spans="1:6" x14ac:dyDescent="0.25">
      <c r="A35" s="8" t="s">
        <v>99</v>
      </c>
      <c r="B35" s="8" t="s">
        <v>96</v>
      </c>
      <c r="C35" s="2" t="s">
        <v>161</v>
      </c>
      <c r="D35" s="8">
        <v>515</v>
      </c>
      <c r="E35" s="8" t="str">
        <f t="shared" si="0"/>
        <v>tenant:RCH;application-profile:rch_domain_app;epg:vlan515_epg;encap:515</v>
      </c>
      <c r="F35" t="str">
        <f t="shared" si="1"/>
        <v>category:network;subCategory:bridgeDomainLink;bridge-domain:vlan515_bd;l3out:border_bgp_pod1_l3out
category:network;subCategory:bridgeDomainLink;bridge-domain:vlan515_bd;l3out:border_bgp_pod2_l3out
category:network;subCategory:bridgeDomainLink;bridge-domain:vlan515_bd;l3out:border_eigrp_pod1_l3out
category:network;subCategory:bridgeDomainLink;bridge-domain:vlan515_bd;l3out:border_eigrp_pod2_l3out
category:network;subCategory:bridgeDomainLink;bridge-domain:vlan515_bd;l3out:distribution_ospf_pod1_l3out
category:network;subCategory:bridgeDomainLink;bridge-domain:vlan515_bd;l3out:distribution_ospf_pod2_l3out
category:network;subCategory:bridgeDomainLink;bridge-domain:vlan515_bd;l3out:utility_eigrp_pod1_l3out
category:network;subCategory:bridgeDomainLink;bridge-domain:vlan515_bd;l3out:utility_eigrp_pod2_l3out</v>
      </c>
    </row>
    <row r="36" spans="1:6" x14ac:dyDescent="0.25">
      <c r="A36" s="8" t="s">
        <v>99</v>
      </c>
      <c r="B36" s="8" t="s">
        <v>96</v>
      </c>
      <c r="C36" s="2" t="s">
        <v>162</v>
      </c>
      <c r="D36" s="8">
        <v>516</v>
      </c>
      <c r="E36" s="8" t="str">
        <f t="shared" si="0"/>
        <v>tenant:RCH;application-profile:rch_domain_app;epg:vlan516_epg;encap:516</v>
      </c>
      <c r="F36" t="str">
        <f t="shared" si="1"/>
        <v>category:network;subCategory:bridgeDomainLink;bridge-domain:vlan516_bd;l3out:border_bgp_pod1_l3out
category:network;subCategory:bridgeDomainLink;bridge-domain:vlan516_bd;l3out:border_bgp_pod2_l3out
category:network;subCategory:bridgeDomainLink;bridge-domain:vlan516_bd;l3out:border_eigrp_pod1_l3out
category:network;subCategory:bridgeDomainLink;bridge-domain:vlan516_bd;l3out:border_eigrp_pod2_l3out
category:network;subCategory:bridgeDomainLink;bridge-domain:vlan516_bd;l3out:distribution_ospf_pod1_l3out
category:network;subCategory:bridgeDomainLink;bridge-domain:vlan516_bd;l3out:distribution_ospf_pod2_l3out
category:network;subCategory:bridgeDomainLink;bridge-domain:vlan516_bd;l3out:utility_eigrp_pod1_l3out
category:network;subCategory:bridgeDomainLink;bridge-domain:vlan516_bd;l3out:utility_eigrp_pod2_l3out</v>
      </c>
    </row>
    <row r="37" spans="1:6" x14ac:dyDescent="0.25">
      <c r="A37" s="8" t="s">
        <v>99</v>
      </c>
      <c r="B37" s="8" t="s">
        <v>96</v>
      </c>
      <c r="C37" s="2" t="s">
        <v>163</v>
      </c>
      <c r="D37" s="8">
        <v>517</v>
      </c>
      <c r="E37" s="8" t="str">
        <f t="shared" si="0"/>
        <v>tenant:RCH;application-profile:rch_domain_app;epg:vlan517_epg;encap:517</v>
      </c>
      <c r="F37" t="str">
        <f t="shared" si="1"/>
        <v>category:network;subCategory:bridgeDomainLink;bridge-domain:vlan517_bd;l3out:border_bgp_pod1_l3out
category:network;subCategory:bridgeDomainLink;bridge-domain:vlan517_bd;l3out:border_bgp_pod2_l3out
category:network;subCategory:bridgeDomainLink;bridge-domain:vlan517_bd;l3out:border_eigrp_pod1_l3out
category:network;subCategory:bridgeDomainLink;bridge-domain:vlan517_bd;l3out:border_eigrp_pod2_l3out
category:network;subCategory:bridgeDomainLink;bridge-domain:vlan517_bd;l3out:distribution_ospf_pod1_l3out
category:network;subCategory:bridgeDomainLink;bridge-domain:vlan517_bd;l3out:distribution_ospf_pod2_l3out
category:network;subCategory:bridgeDomainLink;bridge-domain:vlan517_bd;l3out:utility_eigrp_pod1_l3out
category:network;subCategory:bridgeDomainLink;bridge-domain:vlan517_bd;l3out:utility_eigrp_pod2_l3out</v>
      </c>
    </row>
    <row r="38" spans="1:6" x14ac:dyDescent="0.25">
      <c r="A38" s="8" t="s">
        <v>99</v>
      </c>
      <c r="B38" s="8" t="s">
        <v>96</v>
      </c>
      <c r="C38" s="2" t="s">
        <v>164</v>
      </c>
      <c r="D38" s="8">
        <v>518</v>
      </c>
      <c r="E38" s="8" t="str">
        <f t="shared" si="0"/>
        <v>tenant:RCH;application-profile:rch_domain_app;epg:vlan518_epg;encap:518</v>
      </c>
      <c r="F38" t="str">
        <f t="shared" si="1"/>
        <v>category:network;subCategory:bridgeDomainLink;bridge-domain:vlan518_bd;l3out:border_bgp_pod1_l3out
category:network;subCategory:bridgeDomainLink;bridge-domain:vlan518_bd;l3out:border_bgp_pod2_l3out
category:network;subCategory:bridgeDomainLink;bridge-domain:vlan518_bd;l3out:border_eigrp_pod1_l3out
category:network;subCategory:bridgeDomainLink;bridge-domain:vlan518_bd;l3out:border_eigrp_pod2_l3out
category:network;subCategory:bridgeDomainLink;bridge-domain:vlan518_bd;l3out:distribution_ospf_pod1_l3out
category:network;subCategory:bridgeDomainLink;bridge-domain:vlan518_bd;l3out:distribution_ospf_pod2_l3out
category:network;subCategory:bridgeDomainLink;bridge-domain:vlan518_bd;l3out:utility_eigrp_pod1_l3out
category:network;subCategory:bridgeDomainLink;bridge-domain:vlan518_bd;l3out:utility_eigrp_pod2_l3out</v>
      </c>
    </row>
    <row r="39" spans="1:6" x14ac:dyDescent="0.25">
      <c r="A39" s="8" t="s">
        <v>99</v>
      </c>
      <c r="B39" s="8" t="s">
        <v>96</v>
      </c>
      <c r="C39" s="2" t="s">
        <v>165</v>
      </c>
      <c r="D39" s="8">
        <v>519</v>
      </c>
      <c r="E39" s="8" t="str">
        <f t="shared" si="0"/>
        <v>tenant:RCH;application-profile:rch_domain_app;epg:vlan519_epg;encap:519</v>
      </c>
      <c r="F39" t="str">
        <f t="shared" si="1"/>
        <v>category:network;subCategory:bridgeDomainLink;bridge-domain:vlan519_bd;l3out:border_bgp_pod1_l3out
category:network;subCategory:bridgeDomainLink;bridge-domain:vlan519_bd;l3out:border_bgp_pod2_l3out
category:network;subCategory:bridgeDomainLink;bridge-domain:vlan519_bd;l3out:border_eigrp_pod1_l3out
category:network;subCategory:bridgeDomainLink;bridge-domain:vlan519_bd;l3out:border_eigrp_pod2_l3out
category:network;subCategory:bridgeDomainLink;bridge-domain:vlan519_bd;l3out:distribution_ospf_pod1_l3out
category:network;subCategory:bridgeDomainLink;bridge-domain:vlan519_bd;l3out:distribution_ospf_pod2_l3out
category:network;subCategory:bridgeDomainLink;bridge-domain:vlan519_bd;l3out:utility_eigrp_pod1_l3out
category:network;subCategory:bridgeDomainLink;bridge-domain:vlan519_bd;l3out:utility_eigrp_pod2_l3out</v>
      </c>
    </row>
    <row r="40" spans="1:6" x14ac:dyDescent="0.25">
      <c r="A40" s="8" t="s">
        <v>99</v>
      </c>
      <c r="B40" s="8" t="s">
        <v>96</v>
      </c>
      <c r="C40" s="2" t="s">
        <v>166</v>
      </c>
      <c r="D40" s="8">
        <v>520</v>
      </c>
      <c r="E40" s="8" t="str">
        <f t="shared" si="0"/>
        <v>tenant:RCH;application-profile:rch_domain_app;epg:vlan520_epg;encap:520</v>
      </c>
      <c r="F40" t="str">
        <f t="shared" si="1"/>
        <v>category:network;subCategory:bridgeDomainLink;bridge-domain:vlan520_bd;l3out:border_bgp_pod1_l3out
category:network;subCategory:bridgeDomainLink;bridge-domain:vlan520_bd;l3out:border_bgp_pod2_l3out
category:network;subCategory:bridgeDomainLink;bridge-domain:vlan520_bd;l3out:border_eigrp_pod1_l3out
category:network;subCategory:bridgeDomainLink;bridge-domain:vlan520_bd;l3out:border_eigrp_pod2_l3out
category:network;subCategory:bridgeDomainLink;bridge-domain:vlan520_bd;l3out:distribution_ospf_pod1_l3out
category:network;subCategory:bridgeDomainLink;bridge-domain:vlan520_bd;l3out:distribution_ospf_pod2_l3out
category:network;subCategory:bridgeDomainLink;bridge-domain:vlan520_bd;l3out:utility_eigrp_pod1_l3out
category:network;subCategory:bridgeDomainLink;bridge-domain:vlan520_bd;l3out:utility_eigrp_pod2_l3out</v>
      </c>
    </row>
    <row r="41" spans="1:6" x14ac:dyDescent="0.25">
      <c r="A41" s="8" t="s">
        <v>99</v>
      </c>
      <c r="B41" s="8" t="s">
        <v>96</v>
      </c>
      <c r="C41" s="2" t="s">
        <v>167</v>
      </c>
      <c r="D41" s="8">
        <v>521</v>
      </c>
      <c r="E41" s="8" t="str">
        <f t="shared" si="0"/>
        <v>tenant:RCH;application-profile:rch_domain_app;epg:vlan521_epg;encap:521</v>
      </c>
      <c r="F41" t="str">
        <f t="shared" si="1"/>
        <v>category:network;subCategory:bridgeDomainLink;bridge-domain:vlan521_bd;l3out:border_bgp_pod1_l3out
category:network;subCategory:bridgeDomainLink;bridge-domain:vlan521_bd;l3out:border_bgp_pod2_l3out
category:network;subCategory:bridgeDomainLink;bridge-domain:vlan521_bd;l3out:border_eigrp_pod1_l3out
category:network;subCategory:bridgeDomainLink;bridge-domain:vlan521_bd;l3out:border_eigrp_pod2_l3out
category:network;subCategory:bridgeDomainLink;bridge-domain:vlan521_bd;l3out:distribution_ospf_pod1_l3out
category:network;subCategory:bridgeDomainLink;bridge-domain:vlan521_bd;l3out:distribution_ospf_pod2_l3out
category:network;subCategory:bridgeDomainLink;bridge-domain:vlan521_bd;l3out:utility_eigrp_pod1_l3out
category:network;subCategory:bridgeDomainLink;bridge-domain:vlan521_bd;l3out:utility_eigrp_pod2_l3out</v>
      </c>
    </row>
    <row r="42" spans="1:6" x14ac:dyDescent="0.25">
      <c r="A42" s="8" t="s">
        <v>99</v>
      </c>
      <c r="B42" s="8" t="s">
        <v>96</v>
      </c>
      <c r="C42" s="2" t="s">
        <v>168</v>
      </c>
      <c r="D42" s="8">
        <v>522</v>
      </c>
      <c r="E42" s="8" t="str">
        <f t="shared" si="0"/>
        <v>tenant:RCH;application-profile:rch_domain_app;epg:vlan522_epg;encap:522</v>
      </c>
      <c r="F42" t="str">
        <f t="shared" si="1"/>
        <v>category:network;subCategory:bridgeDomainLink;bridge-domain:vlan522_bd;l3out:border_bgp_pod1_l3out
category:network;subCategory:bridgeDomainLink;bridge-domain:vlan522_bd;l3out:border_bgp_pod2_l3out
category:network;subCategory:bridgeDomainLink;bridge-domain:vlan522_bd;l3out:border_eigrp_pod1_l3out
category:network;subCategory:bridgeDomainLink;bridge-domain:vlan522_bd;l3out:border_eigrp_pod2_l3out
category:network;subCategory:bridgeDomainLink;bridge-domain:vlan522_bd;l3out:distribution_ospf_pod1_l3out
category:network;subCategory:bridgeDomainLink;bridge-domain:vlan522_bd;l3out:distribution_ospf_pod2_l3out
category:network;subCategory:bridgeDomainLink;bridge-domain:vlan522_bd;l3out:utility_eigrp_pod1_l3out
category:network;subCategory:bridgeDomainLink;bridge-domain:vlan522_bd;l3out:utility_eigrp_pod2_l3out</v>
      </c>
    </row>
    <row r="43" spans="1:6" x14ac:dyDescent="0.25">
      <c r="A43" s="8" t="s">
        <v>99</v>
      </c>
      <c r="B43" s="8" t="s">
        <v>96</v>
      </c>
      <c r="C43" s="2" t="s">
        <v>169</v>
      </c>
      <c r="D43" s="8">
        <v>523</v>
      </c>
      <c r="E43" s="8" t="str">
        <f t="shared" si="0"/>
        <v>tenant:RCH;application-profile:rch_domain_app;epg:vlan523_epg;encap:523</v>
      </c>
      <c r="F43" t="str">
        <f t="shared" si="1"/>
        <v>category:network;subCategory:bridgeDomainLink;bridge-domain:vlan523_bd;l3out:border_bgp_pod1_l3out
category:network;subCategory:bridgeDomainLink;bridge-domain:vlan523_bd;l3out:border_bgp_pod2_l3out
category:network;subCategory:bridgeDomainLink;bridge-domain:vlan523_bd;l3out:border_eigrp_pod1_l3out
category:network;subCategory:bridgeDomainLink;bridge-domain:vlan523_bd;l3out:border_eigrp_pod2_l3out
category:network;subCategory:bridgeDomainLink;bridge-domain:vlan523_bd;l3out:distribution_ospf_pod1_l3out
category:network;subCategory:bridgeDomainLink;bridge-domain:vlan523_bd;l3out:distribution_ospf_pod2_l3out
category:network;subCategory:bridgeDomainLink;bridge-domain:vlan523_bd;l3out:utility_eigrp_pod1_l3out
category:network;subCategory:bridgeDomainLink;bridge-domain:vlan523_bd;l3out:utility_eigrp_pod2_l3out</v>
      </c>
    </row>
    <row r="44" spans="1:6" x14ac:dyDescent="0.25">
      <c r="A44" s="8" t="s">
        <v>99</v>
      </c>
      <c r="B44" s="8" t="s">
        <v>96</v>
      </c>
      <c r="C44" s="2" t="s">
        <v>170</v>
      </c>
      <c r="D44" s="8">
        <v>524</v>
      </c>
      <c r="E44" s="8" t="str">
        <f t="shared" si="0"/>
        <v>tenant:RCH;application-profile:rch_domain_app;epg:vlan524_epg;encap:524</v>
      </c>
      <c r="F44" t="str">
        <f t="shared" si="1"/>
        <v>category:network;subCategory:bridgeDomainLink;bridge-domain:vlan524_bd;l3out:border_bgp_pod1_l3out
category:network;subCategory:bridgeDomainLink;bridge-domain:vlan524_bd;l3out:border_bgp_pod2_l3out
category:network;subCategory:bridgeDomainLink;bridge-domain:vlan524_bd;l3out:border_eigrp_pod1_l3out
category:network;subCategory:bridgeDomainLink;bridge-domain:vlan524_bd;l3out:border_eigrp_pod2_l3out
category:network;subCategory:bridgeDomainLink;bridge-domain:vlan524_bd;l3out:distribution_ospf_pod1_l3out
category:network;subCategory:bridgeDomainLink;bridge-domain:vlan524_bd;l3out:distribution_ospf_pod2_l3out
category:network;subCategory:bridgeDomainLink;bridge-domain:vlan524_bd;l3out:utility_eigrp_pod1_l3out
category:network;subCategory:bridgeDomainLink;bridge-domain:vlan524_bd;l3out:utility_eigrp_pod2_l3out</v>
      </c>
    </row>
    <row r="45" spans="1:6" x14ac:dyDescent="0.25">
      <c r="A45" s="8" t="s">
        <v>99</v>
      </c>
      <c r="B45" s="8" t="s">
        <v>96</v>
      </c>
      <c r="C45" s="2" t="s">
        <v>171</v>
      </c>
      <c r="D45" s="8">
        <v>525</v>
      </c>
      <c r="E45" s="8" t="str">
        <f t="shared" si="0"/>
        <v>tenant:RCH;application-profile:rch_domain_app;epg:vlan525_epg;encap:525</v>
      </c>
      <c r="F45" t="str">
        <f t="shared" si="1"/>
        <v>category:network;subCategory:bridgeDomainLink;bridge-domain:vlan525_bd;l3out:border_bgp_pod1_l3out
category:network;subCategory:bridgeDomainLink;bridge-domain:vlan525_bd;l3out:border_bgp_pod2_l3out
category:network;subCategory:bridgeDomainLink;bridge-domain:vlan525_bd;l3out:border_eigrp_pod1_l3out
category:network;subCategory:bridgeDomainLink;bridge-domain:vlan525_bd;l3out:border_eigrp_pod2_l3out
category:network;subCategory:bridgeDomainLink;bridge-domain:vlan525_bd;l3out:distribution_ospf_pod1_l3out
category:network;subCategory:bridgeDomainLink;bridge-domain:vlan525_bd;l3out:distribution_ospf_pod2_l3out
category:network;subCategory:bridgeDomainLink;bridge-domain:vlan525_bd;l3out:utility_eigrp_pod1_l3out
category:network;subCategory:bridgeDomainLink;bridge-domain:vlan525_bd;l3out:utility_eigrp_pod2_l3out</v>
      </c>
    </row>
    <row r="46" spans="1:6" x14ac:dyDescent="0.25">
      <c r="A46" s="8" t="s">
        <v>99</v>
      </c>
      <c r="B46" s="8" t="s">
        <v>96</v>
      </c>
      <c r="C46" s="2" t="s">
        <v>172</v>
      </c>
      <c r="D46" s="8">
        <v>526</v>
      </c>
      <c r="E46" s="8" t="str">
        <f t="shared" si="0"/>
        <v>tenant:RCH;application-profile:rch_domain_app;epg:vlan526_epg;encap:526</v>
      </c>
      <c r="F46" t="str">
        <f t="shared" si="1"/>
        <v>category:network;subCategory:bridgeDomainLink;bridge-domain:vlan526_bd;l3out:border_bgp_pod1_l3out
category:network;subCategory:bridgeDomainLink;bridge-domain:vlan526_bd;l3out:border_bgp_pod2_l3out
category:network;subCategory:bridgeDomainLink;bridge-domain:vlan526_bd;l3out:border_eigrp_pod1_l3out
category:network;subCategory:bridgeDomainLink;bridge-domain:vlan526_bd;l3out:border_eigrp_pod2_l3out
category:network;subCategory:bridgeDomainLink;bridge-domain:vlan526_bd;l3out:distribution_ospf_pod1_l3out
category:network;subCategory:bridgeDomainLink;bridge-domain:vlan526_bd;l3out:distribution_ospf_pod2_l3out
category:network;subCategory:bridgeDomainLink;bridge-domain:vlan526_bd;l3out:utility_eigrp_pod1_l3out
category:network;subCategory:bridgeDomainLink;bridge-domain:vlan526_bd;l3out:utility_eigrp_pod2_l3out</v>
      </c>
    </row>
    <row r="47" spans="1:6" x14ac:dyDescent="0.25">
      <c r="A47" s="8" t="s">
        <v>99</v>
      </c>
      <c r="B47" s="8" t="s">
        <v>96</v>
      </c>
      <c r="C47" s="2" t="s">
        <v>173</v>
      </c>
      <c r="D47" s="8">
        <v>527</v>
      </c>
      <c r="E47" s="8" t="str">
        <f t="shared" si="0"/>
        <v>tenant:RCH;application-profile:rch_domain_app;epg:vlan527_epg;encap:527</v>
      </c>
      <c r="F47" t="str">
        <f t="shared" si="1"/>
        <v>category:network;subCategory:bridgeDomainLink;bridge-domain:vlan527_bd;l3out:border_bgp_pod1_l3out
category:network;subCategory:bridgeDomainLink;bridge-domain:vlan527_bd;l3out:border_bgp_pod2_l3out
category:network;subCategory:bridgeDomainLink;bridge-domain:vlan527_bd;l3out:border_eigrp_pod1_l3out
category:network;subCategory:bridgeDomainLink;bridge-domain:vlan527_bd;l3out:border_eigrp_pod2_l3out
category:network;subCategory:bridgeDomainLink;bridge-domain:vlan527_bd;l3out:distribution_ospf_pod1_l3out
category:network;subCategory:bridgeDomainLink;bridge-domain:vlan527_bd;l3out:distribution_ospf_pod2_l3out
category:network;subCategory:bridgeDomainLink;bridge-domain:vlan527_bd;l3out:utility_eigrp_pod1_l3out
category:network;subCategory:bridgeDomainLink;bridge-domain:vlan527_bd;l3out:utility_eigrp_pod2_l3out</v>
      </c>
    </row>
    <row r="48" spans="1:6" x14ac:dyDescent="0.25">
      <c r="A48" s="8" t="s">
        <v>99</v>
      </c>
      <c r="B48" s="8" t="s">
        <v>96</v>
      </c>
      <c r="C48" s="2" t="s">
        <v>174</v>
      </c>
      <c r="D48" s="8">
        <v>528</v>
      </c>
      <c r="E48" s="8" t="str">
        <f t="shared" si="0"/>
        <v>tenant:RCH;application-profile:rch_domain_app;epg:vlan528_epg;encap:528</v>
      </c>
      <c r="F48" t="str">
        <f t="shared" si="1"/>
        <v>category:network;subCategory:bridgeDomainLink;bridge-domain:vlan528_bd;l3out:border_bgp_pod1_l3out
category:network;subCategory:bridgeDomainLink;bridge-domain:vlan528_bd;l3out:border_bgp_pod2_l3out
category:network;subCategory:bridgeDomainLink;bridge-domain:vlan528_bd;l3out:border_eigrp_pod1_l3out
category:network;subCategory:bridgeDomainLink;bridge-domain:vlan528_bd;l3out:border_eigrp_pod2_l3out
category:network;subCategory:bridgeDomainLink;bridge-domain:vlan528_bd;l3out:distribution_ospf_pod1_l3out
category:network;subCategory:bridgeDomainLink;bridge-domain:vlan528_bd;l3out:distribution_ospf_pod2_l3out
category:network;subCategory:bridgeDomainLink;bridge-domain:vlan528_bd;l3out:utility_eigrp_pod1_l3out
category:network;subCategory:bridgeDomainLink;bridge-domain:vlan528_bd;l3out:utility_eigrp_pod2_l3out</v>
      </c>
    </row>
    <row r="49" spans="1:6" x14ac:dyDescent="0.25">
      <c r="A49" s="8" t="s">
        <v>99</v>
      </c>
      <c r="B49" s="8" t="s">
        <v>96</v>
      </c>
      <c r="C49" s="2" t="s">
        <v>175</v>
      </c>
      <c r="D49" s="8">
        <v>529</v>
      </c>
      <c r="E49" s="8" t="str">
        <f t="shared" si="0"/>
        <v>tenant:RCH;application-profile:rch_domain_app;epg:vlan529_epg;encap:529</v>
      </c>
      <c r="F49" t="str">
        <f t="shared" si="1"/>
        <v>category:network;subCategory:bridgeDomainLink;bridge-domain:vlan529_bd;l3out:border_bgp_pod1_l3out
category:network;subCategory:bridgeDomainLink;bridge-domain:vlan529_bd;l3out:border_bgp_pod2_l3out
category:network;subCategory:bridgeDomainLink;bridge-domain:vlan529_bd;l3out:border_eigrp_pod1_l3out
category:network;subCategory:bridgeDomainLink;bridge-domain:vlan529_bd;l3out:border_eigrp_pod2_l3out
category:network;subCategory:bridgeDomainLink;bridge-domain:vlan529_bd;l3out:distribution_ospf_pod1_l3out
category:network;subCategory:bridgeDomainLink;bridge-domain:vlan529_bd;l3out:distribution_ospf_pod2_l3out
category:network;subCategory:bridgeDomainLink;bridge-domain:vlan529_bd;l3out:utility_eigrp_pod1_l3out
category:network;subCategory:bridgeDomainLink;bridge-domain:vlan529_bd;l3out:utility_eigrp_pod2_l3out</v>
      </c>
    </row>
    <row r="50" spans="1:6" x14ac:dyDescent="0.25">
      <c r="A50" s="8" t="s">
        <v>99</v>
      </c>
      <c r="B50" s="8" t="s">
        <v>96</v>
      </c>
      <c r="C50" s="2" t="s">
        <v>176</v>
      </c>
      <c r="D50" s="8">
        <v>530</v>
      </c>
      <c r="E50" s="8" t="str">
        <f t="shared" si="0"/>
        <v>tenant:RCH;application-profile:rch_domain_app;epg:vlan530_epg;encap:530</v>
      </c>
      <c r="F50" t="str">
        <f t="shared" si="1"/>
        <v>category:network;subCategory:bridgeDomainLink;bridge-domain:vlan530_bd;l3out:border_bgp_pod1_l3out
category:network;subCategory:bridgeDomainLink;bridge-domain:vlan530_bd;l3out:border_bgp_pod2_l3out
category:network;subCategory:bridgeDomainLink;bridge-domain:vlan530_bd;l3out:border_eigrp_pod1_l3out
category:network;subCategory:bridgeDomainLink;bridge-domain:vlan530_bd;l3out:border_eigrp_pod2_l3out
category:network;subCategory:bridgeDomainLink;bridge-domain:vlan530_bd;l3out:distribution_ospf_pod1_l3out
category:network;subCategory:bridgeDomainLink;bridge-domain:vlan530_bd;l3out:distribution_ospf_pod2_l3out
category:network;subCategory:bridgeDomainLink;bridge-domain:vlan530_bd;l3out:utility_eigrp_pod1_l3out
category:network;subCategory:bridgeDomainLink;bridge-domain:vlan530_bd;l3out:utility_eigrp_pod2_l3out</v>
      </c>
    </row>
    <row r="51" spans="1:6" x14ac:dyDescent="0.25">
      <c r="A51" s="8" t="s">
        <v>99</v>
      </c>
      <c r="B51" s="8" t="s">
        <v>96</v>
      </c>
      <c r="C51" s="2" t="s">
        <v>177</v>
      </c>
      <c r="D51" s="8">
        <v>531</v>
      </c>
      <c r="E51" s="8" t="str">
        <f t="shared" si="0"/>
        <v>tenant:RCH;application-profile:rch_domain_app;epg:vlan531_epg;encap:531</v>
      </c>
      <c r="F51" t="str">
        <f t="shared" si="1"/>
        <v>category:network;subCategory:bridgeDomainLink;bridge-domain:vlan531_bd;l3out:border_bgp_pod1_l3out
category:network;subCategory:bridgeDomainLink;bridge-domain:vlan531_bd;l3out:border_bgp_pod2_l3out
category:network;subCategory:bridgeDomainLink;bridge-domain:vlan531_bd;l3out:border_eigrp_pod1_l3out
category:network;subCategory:bridgeDomainLink;bridge-domain:vlan531_bd;l3out:border_eigrp_pod2_l3out
category:network;subCategory:bridgeDomainLink;bridge-domain:vlan531_bd;l3out:distribution_ospf_pod1_l3out
category:network;subCategory:bridgeDomainLink;bridge-domain:vlan531_bd;l3out:distribution_ospf_pod2_l3out
category:network;subCategory:bridgeDomainLink;bridge-domain:vlan531_bd;l3out:utility_eigrp_pod1_l3out
category:network;subCategory:bridgeDomainLink;bridge-domain:vlan531_bd;l3out:utility_eigrp_pod2_l3out</v>
      </c>
    </row>
    <row r="52" spans="1:6" x14ac:dyDescent="0.25">
      <c r="A52" s="8" t="s">
        <v>99</v>
      </c>
      <c r="B52" s="8" t="s">
        <v>96</v>
      </c>
      <c r="C52" s="2" t="s">
        <v>178</v>
      </c>
      <c r="D52" s="11">
        <v>593</v>
      </c>
      <c r="E52" s="8" t="str">
        <f t="shared" si="0"/>
        <v>tenant:RCH;application-profile:rch_domain_app;epg:vlan593_epg;encap:593</v>
      </c>
      <c r="F52" t="str">
        <f t="shared" si="1"/>
        <v>category:network;subCategory:bridgeDomainLink;bridge-domain:vlan593_bd;l3out:border_bgp_pod1_l3out
category:network;subCategory:bridgeDomainLink;bridge-domain:vlan593_bd;l3out:border_bgp_pod2_l3out
category:network;subCategory:bridgeDomainLink;bridge-domain:vlan593_bd;l3out:border_eigrp_pod1_l3out
category:network;subCategory:bridgeDomainLink;bridge-domain:vlan593_bd;l3out:border_eigrp_pod2_l3out
category:network;subCategory:bridgeDomainLink;bridge-domain:vlan593_bd;l3out:distribution_ospf_pod1_l3out
category:network;subCategory:bridgeDomainLink;bridge-domain:vlan593_bd;l3out:distribution_ospf_pod2_l3out
category:network;subCategory:bridgeDomainLink;bridge-domain:vlan593_bd;l3out:utility_eigrp_pod1_l3out
category:network;subCategory:bridgeDomainLink;bridge-domain:vlan593_bd;l3out:utility_eigrp_pod2_l3out</v>
      </c>
    </row>
    <row r="53" spans="1:6" x14ac:dyDescent="0.25">
      <c r="A53" s="8" t="s">
        <v>99</v>
      </c>
      <c r="B53" s="8" t="s">
        <v>96</v>
      </c>
      <c r="C53" s="2" t="s">
        <v>179</v>
      </c>
      <c r="D53" s="11">
        <v>595</v>
      </c>
      <c r="E53" s="8" t="str">
        <f t="shared" si="0"/>
        <v>tenant:RCH;application-profile:rch_domain_app;epg:vlan595_epg;encap:595</v>
      </c>
      <c r="F53" t="str">
        <f t="shared" si="1"/>
        <v>category:network;subCategory:bridgeDomainLink;bridge-domain:vlan595_bd;l3out:border_bgp_pod1_l3out
category:network;subCategory:bridgeDomainLink;bridge-domain:vlan595_bd;l3out:border_bgp_pod2_l3out
category:network;subCategory:bridgeDomainLink;bridge-domain:vlan595_bd;l3out:border_eigrp_pod1_l3out
category:network;subCategory:bridgeDomainLink;bridge-domain:vlan595_bd;l3out:border_eigrp_pod2_l3out
category:network;subCategory:bridgeDomainLink;bridge-domain:vlan595_bd;l3out:distribution_ospf_pod1_l3out
category:network;subCategory:bridgeDomainLink;bridge-domain:vlan595_bd;l3out:distribution_ospf_pod2_l3out
category:network;subCategory:bridgeDomainLink;bridge-domain:vlan595_bd;l3out:utility_eigrp_pod1_l3out
category:network;subCategory:bridgeDomainLink;bridge-domain:vlan595_bd;l3out:utility_eigrp_pod2_l3out</v>
      </c>
    </row>
    <row r="54" spans="1:6" x14ac:dyDescent="0.25">
      <c r="A54" s="8" t="s">
        <v>99</v>
      </c>
      <c r="B54" s="8" t="s">
        <v>96</v>
      </c>
      <c r="C54" s="2" t="s">
        <v>180</v>
      </c>
      <c r="D54" s="11">
        <v>901</v>
      </c>
      <c r="E54" s="8" t="str">
        <f t="shared" si="0"/>
        <v>tenant:RCH;application-profile:rch_domain_app;epg:vlan901_epg;encap:901</v>
      </c>
      <c r="F54" t="str">
        <f t="shared" si="1"/>
        <v>category:network;subCategory:bridgeDomainLink;bridge-domain:vlan901_bd;l3out:border_bgp_pod1_l3out
category:network;subCategory:bridgeDomainLink;bridge-domain:vlan901_bd;l3out:border_bgp_pod2_l3out
category:network;subCategory:bridgeDomainLink;bridge-domain:vlan901_bd;l3out:border_eigrp_pod1_l3out
category:network;subCategory:bridgeDomainLink;bridge-domain:vlan901_bd;l3out:border_eigrp_pod2_l3out
category:network;subCategory:bridgeDomainLink;bridge-domain:vlan901_bd;l3out:distribution_ospf_pod1_l3out
category:network;subCategory:bridgeDomainLink;bridge-domain:vlan901_bd;l3out:distribution_ospf_pod2_l3out
category:network;subCategory:bridgeDomainLink;bridge-domain:vlan901_bd;l3out:utility_eigrp_pod1_l3out
category:network;subCategory:bridgeDomainLink;bridge-domain:vlan901_bd;l3out:utility_eigrp_pod2_l3out</v>
      </c>
    </row>
    <row r="55" spans="1:6" x14ac:dyDescent="0.25">
      <c r="A55" s="8" t="s">
        <v>99</v>
      </c>
      <c r="B55" s="8" t="s">
        <v>96</v>
      </c>
      <c r="C55" s="2" t="s">
        <v>181</v>
      </c>
      <c r="D55" s="11">
        <v>902</v>
      </c>
      <c r="E55" s="8" t="str">
        <f t="shared" si="0"/>
        <v>tenant:RCH;application-profile:rch_domain_app;epg:vlan902_epg;encap:902</v>
      </c>
      <c r="F55" t="str">
        <f t="shared" si="1"/>
        <v>category:network;subCategory:bridgeDomainLink;bridge-domain:vlan902_bd;l3out:border_bgp_pod1_l3out
category:network;subCategory:bridgeDomainLink;bridge-domain:vlan902_bd;l3out:border_bgp_pod2_l3out
category:network;subCategory:bridgeDomainLink;bridge-domain:vlan902_bd;l3out:border_eigrp_pod1_l3out
category:network;subCategory:bridgeDomainLink;bridge-domain:vlan902_bd;l3out:border_eigrp_pod2_l3out
category:network;subCategory:bridgeDomainLink;bridge-domain:vlan902_bd;l3out:distribution_ospf_pod1_l3out
category:network;subCategory:bridgeDomainLink;bridge-domain:vlan902_bd;l3out:distribution_ospf_pod2_l3out
category:network;subCategory:bridgeDomainLink;bridge-domain:vlan902_bd;l3out:utility_eigrp_pod1_l3out
category:network;subCategory:bridgeDomainLink;bridge-domain:vlan902_bd;l3out:utility_eigrp_pod2_l3out</v>
      </c>
    </row>
    <row r="56" spans="1:6" x14ac:dyDescent="0.25">
      <c r="A56" s="8" t="s">
        <v>99</v>
      </c>
      <c r="B56" s="8" t="s">
        <v>96</v>
      </c>
      <c r="C56" s="2" t="s">
        <v>182</v>
      </c>
      <c r="D56" s="11">
        <v>903</v>
      </c>
      <c r="E56" s="8" t="str">
        <f t="shared" si="0"/>
        <v>tenant:RCH;application-profile:rch_domain_app;epg:vlan903_epg;encap:903</v>
      </c>
      <c r="F56" t="str">
        <f t="shared" si="1"/>
        <v>category:network;subCategory:bridgeDomainLink;bridge-domain:vlan903_bd;l3out:border_bgp_pod1_l3out
category:network;subCategory:bridgeDomainLink;bridge-domain:vlan903_bd;l3out:border_bgp_pod2_l3out
category:network;subCategory:bridgeDomainLink;bridge-domain:vlan903_bd;l3out:border_eigrp_pod1_l3out
category:network;subCategory:bridgeDomainLink;bridge-domain:vlan903_bd;l3out:border_eigrp_pod2_l3out
category:network;subCategory:bridgeDomainLink;bridge-domain:vlan903_bd;l3out:distribution_ospf_pod1_l3out
category:network;subCategory:bridgeDomainLink;bridge-domain:vlan903_bd;l3out:distribution_ospf_pod2_l3out
category:network;subCategory:bridgeDomainLink;bridge-domain:vlan903_bd;l3out:utility_eigrp_pod1_l3out
category:network;subCategory:bridgeDomainLink;bridge-domain:vlan903_bd;l3out:utility_eigrp_pod2_l3out</v>
      </c>
    </row>
    <row r="57" spans="1:6" x14ac:dyDescent="0.25">
      <c r="A57" s="8" t="s">
        <v>99</v>
      </c>
      <c r="B57" s="8" t="s">
        <v>96</v>
      </c>
      <c r="C57" s="2" t="s">
        <v>183</v>
      </c>
      <c r="D57" s="11">
        <v>904</v>
      </c>
      <c r="E57" s="8" t="str">
        <f t="shared" si="0"/>
        <v>tenant:RCH;application-profile:rch_domain_app;epg:vlan904_epg;encap:904</v>
      </c>
      <c r="F57" t="str">
        <f t="shared" si="1"/>
        <v>category:network;subCategory:bridgeDomainLink;bridge-domain:vlan904_bd;l3out:border_bgp_pod1_l3out
category:network;subCategory:bridgeDomainLink;bridge-domain:vlan904_bd;l3out:border_bgp_pod2_l3out
category:network;subCategory:bridgeDomainLink;bridge-domain:vlan904_bd;l3out:border_eigrp_pod1_l3out
category:network;subCategory:bridgeDomainLink;bridge-domain:vlan904_bd;l3out:border_eigrp_pod2_l3out
category:network;subCategory:bridgeDomainLink;bridge-domain:vlan904_bd;l3out:distribution_ospf_pod1_l3out
category:network;subCategory:bridgeDomainLink;bridge-domain:vlan904_bd;l3out:distribution_ospf_pod2_l3out
category:network;subCategory:bridgeDomainLink;bridge-domain:vlan904_bd;l3out:utility_eigrp_pod1_l3out
category:network;subCategory:bridgeDomainLink;bridge-domain:vlan904_bd;l3out:utility_eigrp_pod2_l3out</v>
      </c>
    </row>
    <row r="58" spans="1:6" x14ac:dyDescent="0.25">
      <c r="A58" s="8" t="s">
        <v>99</v>
      </c>
      <c r="B58" s="8" t="s">
        <v>96</v>
      </c>
      <c r="C58" s="2" t="s">
        <v>184</v>
      </c>
      <c r="D58" s="11">
        <v>905</v>
      </c>
      <c r="E58" s="8" t="str">
        <f t="shared" si="0"/>
        <v>tenant:RCH;application-profile:rch_domain_app;epg:vlan905_epg;encap:905</v>
      </c>
      <c r="F58" t="str">
        <f t="shared" si="1"/>
        <v>category:network;subCategory:bridgeDomainLink;bridge-domain:vlan905_bd;l3out:border_bgp_pod1_l3out
category:network;subCategory:bridgeDomainLink;bridge-domain:vlan905_bd;l3out:border_bgp_pod2_l3out
category:network;subCategory:bridgeDomainLink;bridge-domain:vlan905_bd;l3out:border_eigrp_pod1_l3out
category:network;subCategory:bridgeDomainLink;bridge-domain:vlan905_bd;l3out:border_eigrp_pod2_l3out
category:network;subCategory:bridgeDomainLink;bridge-domain:vlan905_bd;l3out:distribution_ospf_pod1_l3out
category:network;subCategory:bridgeDomainLink;bridge-domain:vlan905_bd;l3out:distribution_ospf_pod2_l3out
category:network;subCategory:bridgeDomainLink;bridge-domain:vlan905_bd;l3out:utility_eigrp_pod1_l3out
category:network;subCategory:bridgeDomainLink;bridge-domain:vlan905_bd;l3out:utility_eigrp_pod2_l3out</v>
      </c>
    </row>
    <row r="59" spans="1:6" x14ac:dyDescent="0.25">
      <c r="A59" s="8" t="s">
        <v>99</v>
      </c>
      <c r="B59" s="8" t="s">
        <v>96</v>
      </c>
      <c r="C59" s="2" t="s">
        <v>185</v>
      </c>
      <c r="D59" s="11">
        <v>906</v>
      </c>
      <c r="E59" s="8" t="str">
        <f t="shared" si="0"/>
        <v>tenant:RCH;application-profile:rch_domain_app;epg:vlan906_epg;encap:906</v>
      </c>
      <c r="F59" t="str">
        <f t="shared" si="1"/>
        <v>category:network;subCategory:bridgeDomainLink;bridge-domain:vlan906_bd;l3out:border_bgp_pod1_l3out
category:network;subCategory:bridgeDomainLink;bridge-domain:vlan906_bd;l3out:border_bgp_pod2_l3out
category:network;subCategory:bridgeDomainLink;bridge-domain:vlan906_bd;l3out:border_eigrp_pod1_l3out
category:network;subCategory:bridgeDomainLink;bridge-domain:vlan906_bd;l3out:border_eigrp_pod2_l3out
category:network;subCategory:bridgeDomainLink;bridge-domain:vlan906_bd;l3out:distribution_ospf_pod1_l3out
category:network;subCategory:bridgeDomainLink;bridge-domain:vlan906_bd;l3out:distribution_ospf_pod2_l3out
category:network;subCategory:bridgeDomainLink;bridge-domain:vlan906_bd;l3out:utility_eigrp_pod1_l3out
category:network;subCategory:bridgeDomainLink;bridge-domain:vlan906_bd;l3out:utility_eigrp_pod2_l3out</v>
      </c>
    </row>
    <row r="60" spans="1:6" x14ac:dyDescent="0.25">
      <c r="A60" s="8" t="s">
        <v>99</v>
      </c>
      <c r="B60" s="8" t="s">
        <v>96</v>
      </c>
      <c r="C60" s="2" t="s">
        <v>186</v>
      </c>
      <c r="D60" s="11">
        <v>907</v>
      </c>
      <c r="E60" s="8" t="str">
        <f t="shared" si="0"/>
        <v>tenant:RCH;application-profile:rch_domain_app;epg:vlan907_epg;encap:907</v>
      </c>
      <c r="F60" t="str">
        <f t="shared" si="1"/>
        <v>category:network;subCategory:bridgeDomainLink;bridge-domain:vlan907_bd;l3out:border_bgp_pod1_l3out
category:network;subCategory:bridgeDomainLink;bridge-domain:vlan907_bd;l3out:border_bgp_pod2_l3out
category:network;subCategory:bridgeDomainLink;bridge-domain:vlan907_bd;l3out:border_eigrp_pod1_l3out
category:network;subCategory:bridgeDomainLink;bridge-domain:vlan907_bd;l3out:border_eigrp_pod2_l3out
category:network;subCategory:bridgeDomainLink;bridge-domain:vlan907_bd;l3out:distribution_ospf_pod1_l3out
category:network;subCategory:bridgeDomainLink;bridge-domain:vlan907_bd;l3out:distribution_ospf_pod2_l3out
category:network;subCategory:bridgeDomainLink;bridge-domain:vlan907_bd;l3out:utility_eigrp_pod1_l3out
category:network;subCategory:bridgeDomainLink;bridge-domain:vlan907_bd;l3out:utility_eigrp_pod2_l3out</v>
      </c>
    </row>
    <row r="61" spans="1:6" x14ac:dyDescent="0.25">
      <c r="A61" s="8" t="s">
        <v>99</v>
      </c>
      <c r="B61" s="8" t="s">
        <v>96</v>
      </c>
      <c r="C61" s="2" t="s">
        <v>187</v>
      </c>
      <c r="D61" s="11">
        <v>908</v>
      </c>
      <c r="E61" s="8" t="str">
        <f t="shared" si="0"/>
        <v>tenant:RCH;application-profile:rch_domain_app;epg:vlan908_epg;encap:908</v>
      </c>
      <c r="F61" t="str">
        <f t="shared" si="1"/>
        <v>category:network;subCategory:bridgeDomainLink;bridge-domain:vlan908_bd;l3out:border_bgp_pod1_l3out
category:network;subCategory:bridgeDomainLink;bridge-domain:vlan908_bd;l3out:border_bgp_pod2_l3out
category:network;subCategory:bridgeDomainLink;bridge-domain:vlan908_bd;l3out:border_eigrp_pod1_l3out
category:network;subCategory:bridgeDomainLink;bridge-domain:vlan908_bd;l3out:border_eigrp_pod2_l3out
category:network;subCategory:bridgeDomainLink;bridge-domain:vlan908_bd;l3out:distribution_ospf_pod1_l3out
category:network;subCategory:bridgeDomainLink;bridge-domain:vlan908_bd;l3out:distribution_ospf_pod2_l3out
category:network;subCategory:bridgeDomainLink;bridge-domain:vlan908_bd;l3out:utility_eigrp_pod1_l3out
category:network;subCategory:bridgeDomainLink;bridge-domain:vlan908_bd;l3out:utility_eigrp_pod2_l3out</v>
      </c>
    </row>
    <row r="62" spans="1:6" x14ac:dyDescent="0.25">
      <c r="A62" s="8" t="s">
        <v>99</v>
      </c>
      <c r="B62" s="8" t="s">
        <v>96</v>
      </c>
      <c r="C62" s="2" t="s">
        <v>188</v>
      </c>
      <c r="D62" s="11">
        <v>909</v>
      </c>
      <c r="E62" s="8" t="str">
        <f t="shared" si="0"/>
        <v>tenant:RCH;application-profile:rch_domain_app;epg:vlan909_epg;encap:909</v>
      </c>
      <c r="F62" t="str">
        <f t="shared" si="1"/>
        <v>category:network;subCategory:bridgeDomainLink;bridge-domain:vlan909_bd;l3out:border_bgp_pod1_l3out
category:network;subCategory:bridgeDomainLink;bridge-domain:vlan909_bd;l3out:border_bgp_pod2_l3out
category:network;subCategory:bridgeDomainLink;bridge-domain:vlan909_bd;l3out:border_eigrp_pod1_l3out
category:network;subCategory:bridgeDomainLink;bridge-domain:vlan909_bd;l3out:border_eigrp_pod2_l3out
category:network;subCategory:bridgeDomainLink;bridge-domain:vlan909_bd;l3out:distribution_ospf_pod1_l3out
category:network;subCategory:bridgeDomainLink;bridge-domain:vlan909_bd;l3out:distribution_ospf_pod2_l3out
category:network;subCategory:bridgeDomainLink;bridge-domain:vlan909_bd;l3out:utility_eigrp_pod1_l3out
category:network;subCategory:bridgeDomainLink;bridge-domain:vlan909_bd;l3out:utility_eigrp_pod2_l3out</v>
      </c>
    </row>
    <row r="63" spans="1:6" x14ac:dyDescent="0.25">
      <c r="A63" s="8" t="s">
        <v>99</v>
      </c>
      <c r="B63" s="8" t="s">
        <v>96</v>
      </c>
      <c r="C63" s="2" t="s">
        <v>188</v>
      </c>
      <c r="D63" s="11">
        <v>910</v>
      </c>
      <c r="E63" s="8" t="str">
        <f t="shared" si="0"/>
        <v>tenant:RCH;application-profile:rch_domain_app;epg:vlan909_epg;encap:910</v>
      </c>
      <c r="F63" t="str">
        <f t="shared" si="1"/>
        <v>category:network;subCategory:bridgeDomainLink;bridge-domain:vlan910_bd;l3out:border_bgp_pod1_l3out
category:network;subCategory:bridgeDomainLink;bridge-domain:vlan910_bd;l3out:border_bgp_pod2_l3out
category:network;subCategory:bridgeDomainLink;bridge-domain:vlan910_bd;l3out:border_eigrp_pod1_l3out
category:network;subCategory:bridgeDomainLink;bridge-domain:vlan910_bd;l3out:border_eigrp_pod2_l3out
category:network;subCategory:bridgeDomainLink;bridge-domain:vlan910_bd;l3out:distribution_ospf_pod1_l3out
category:network;subCategory:bridgeDomainLink;bridge-domain:vlan910_bd;l3out:distribution_ospf_pod2_l3out
category:network;subCategory:bridgeDomainLink;bridge-domain:vlan910_bd;l3out:utility_eigrp_pod1_l3out
category:network;subCategory:bridgeDomainLink;bridge-domain:vlan910_bd;l3out:utility_eigrp_pod2_l3out</v>
      </c>
    </row>
    <row r="64" spans="1:6" x14ac:dyDescent="0.25">
      <c r="A64" s="8" t="s">
        <v>99</v>
      </c>
      <c r="B64" s="8" t="s">
        <v>96</v>
      </c>
      <c r="C64" s="2" t="s">
        <v>189</v>
      </c>
      <c r="D64" s="11">
        <v>911</v>
      </c>
      <c r="E64" s="8" t="str">
        <f t="shared" si="0"/>
        <v>tenant:RCH;application-profile:rch_domain_app;epg:vlan910_epg;encap:911</v>
      </c>
      <c r="F64" t="str">
        <f t="shared" si="1"/>
        <v>category:network;subCategory:bridgeDomainLink;bridge-domain:vlan911_bd;l3out:border_bgp_pod1_l3out
category:network;subCategory:bridgeDomainLink;bridge-domain:vlan911_bd;l3out:border_bgp_pod2_l3out
category:network;subCategory:bridgeDomainLink;bridge-domain:vlan911_bd;l3out:border_eigrp_pod1_l3out
category:network;subCategory:bridgeDomainLink;bridge-domain:vlan911_bd;l3out:border_eigrp_pod2_l3out
category:network;subCategory:bridgeDomainLink;bridge-domain:vlan911_bd;l3out:distribution_ospf_pod1_l3out
category:network;subCategory:bridgeDomainLink;bridge-domain:vlan911_bd;l3out:distribution_ospf_pod2_l3out
category:network;subCategory:bridgeDomainLink;bridge-domain:vlan911_bd;l3out:utility_eigrp_pod1_l3out
category:network;subCategory:bridgeDomainLink;bridge-domain:vlan911_bd;l3out:utility_eigrp_pod2_l3out</v>
      </c>
    </row>
    <row r="65" spans="1:6" x14ac:dyDescent="0.25">
      <c r="A65" s="8" t="s">
        <v>99</v>
      </c>
      <c r="B65" s="8" t="s">
        <v>96</v>
      </c>
      <c r="C65" s="2" t="s">
        <v>190</v>
      </c>
      <c r="D65" s="11">
        <v>912</v>
      </c>
      <c r="E65" s="8" t="str">
        <f t="shared" si="0"/>
        <v>tenant:RCH;application-profile:rch_domain_app;epg:vlan911_epg;encap:912</v>
      </c>
      <c r="F65" t="str">
        <f t="shared" si="1"/>
        <v>category:network;subCategory:bridgeDomainLink;bridge-domain:vlan912_bd;l3out:border_bgp_pod1_l3out
category:network;subCategory:bridgeDomainLink;bridge-domain:vlan912_bd;l3out:border_bgp_pod2_l3out
category:network;subCategory:bridgeDomainLink;bridge-domain:vlan912_bd;l3out:border_eigrp_pod1_l3out
category:network;subCategory:bridgeDomainLink;bridge-domain:vlan912_bd;l3out:border_eigrp_pod2_l3out
category:network;subCategory:bridgeDomainLink;bridge-domain:vlan912_bd;l3out:distribution_ospf_pod1_l3out
category:network;subCategory:bridgeDomainLink;bridge-domain:vlan912_bd;l3out:distribution_ospf_pod2_l3out
category:network;subCategory:bridgeDomainLink;bridge-domain:vlan912_bd;l3out:utility_eigrp_pod1_l3out
category:network;subCategory:bridgeDomainLink;bridge-domain:vlan912_bd;l3out:utility_eigrp_pod2_l3out</v>
      </c>
    </row>
    <row r="66" spans="1:6" x14ac:dyDescent="0.25">
      <c r="A66" s="8" t="s">
        <v>99</v>
      </c>
      <c r="B66" s="8" t="s">
        <v>96</v>
      </c>
      <c r="C66" s="2" t="s">
        <v>191</v>
      </c>
      <c r="D66" s="11">
        <v>913</v>
      </c>
      <c r="E66" s="8" t="str">
        <f t="shared" si="0"/>
        <v>tenant:RCH;application-profile:rch_domain_app;epg:vlan912_epg;encap:913</v>
      </c>
      <c r="F66" t="str">
        <f t="shared" si="1"/>
        <v>category:network;subCategory:bridgeDomainLink;bridge-domain:vlan913_bd;l3out:border_bgp_pod1_l3out
category:network;subCategory:bridgeDomainLink;bridge-domain:vlan913_bd;l3out:border_bgp_pod2_l3out
category:network;subCategory:bridgeDomainLink;bridge-domain:vlan913_bd;l3out:border_eigrp_pod1_l3out
category:network;subCategory:bridgeDomainLink;bridge-domain:vlan913_bd;l3out:border_eigrp_pod2_l3out
category:network;subCategory:bridgeDomainLink;bridge-domain:vlan913_bd;l3out:distribution_ospf_pod1_l3out
category:network;subCategory:bridgeDomainLink;bridge-domain:vlan913_bd;l3out:distribution_ospf_pod2_l3out
category:network;subCategory:bridgeDomainLink;bridge-domain:vlan913_bd;l3out:utility_eigrp_pod1_l3out
category:network;subCategory:bridgeDomainLink;bridge-domain:vlan913_bd;l3out:utility_eigrp_pod2_l3out</v>
      </c>
    </row>
  </sheetData>
  <autoFilter ref="A1:E40" xr:uid="{56BE347F-64B8-43C9-A10F-C3EF2E7AFB77}"/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tenant</vt:lpstr>
      <vt:lpstr>app_profile</vt:lpstr>
      <vt:lpstr>domains</vt:lpstr>
      <vt:lpstr>epg</vt:lpstr>
      <vt:lpstr>bridge_domain</vt:lpstr>
      <vt:lpstr>l3out</vt:lpstr>
      <vt:lpstr>bd_to_l3out_link</vt:lpstr>
      <vt:lpstr>subnet</vt:lpstr>
      <vt:lpstr>vrf</vt:lpstr>
      <vt:lpstr>contract</vt:lpstr>
      <vt:lpstr>subject</vt:lpstr>
      <vt:lpstr>filter</vt:lpstr>
      <vt:lpstr>filterEntry</vt:lpstr>
      <vt:lpstr>leaf-switchPol</vt:lpstr>
      <vt:lpstr>spine-switchPol</vt:lpstr>
      <vt:lpstr>interface-nodeProf</vt:lpstr>
      <vt:lpstr>vpc</vt:lpstr>
      <vt:lpstr>options</vt:lpstr>
      <vt:lpstr>epg_stretch</vt:lpstr>
    </vt:vector>
  </TitlesOfParts>
  <Company>NTT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Reyn (AU)</dc:creator>
  <cp:lastModifiedBy>Allen Reyn</cp:lastModifiedBy>
  <dcterms:created xsi:type="dcterms:W3CDTF">2020-06-28T10:52:53Z</dcterms:created>
  <dcterms:modified xsi:type="dcterms:W3CDTF">2023-02-08T11:18:04Z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2023-02-08T11:04:08Z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fe379a14-3fb7-4840-b51b-f0f7ec49e92b</vt:lpwstr>
  </property>
  <property fmtid="{D5CDD505-2E9C-101B-9397-08002B2CF9AE}" pid="8" name="MSIP_Label_4637e5cc-ed1f-4ad6-a881-35c0f1c6f3d8_ContentBits">
    <vt:lpwstr>0</vt:lpwstr>
  </property>
</Properties>
</file>